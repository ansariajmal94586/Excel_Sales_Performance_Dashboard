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shashi\Desktop\"/>
    </mc:Choice>
  </mc:AlternateContent>
  <xr:revisionPtr revIDLastSave="0" documentId="8_{6E3C6B17-BA60-4442-B5B2-C5C86A9D3BFC}" xr6:coauthVersionLast="36" xr6:coauthVersionMax="36" xr10:uidLastSave="{00000000-0000-0000-0000-000000000000}"/>
  <bookViews>
    <workbookView xWindow="0" yWindow="0" windowWidth="20490" windowHeight="7425" xr2:uid="{00000000-000D-0000-FFFF-FFFF00000000}"/>
  </bookViews>
  <sheets>
    <sheet name="Sales_Data" sheetId="1" r:id="rId1"/>
    <sheet name="Product_Master" sheetId="2" r:id="rId2"/>
    <sheet name="Formula_Calculations" sheetId="3" r:id="rId3"/>
    <sheet name="Pivot_Summary" sheetId="4" r:id="rId4"/>
    <sheet name="Dashboard" sheetId="6" r:id="rId5"/>
  </sheets>
  <definedNames>
    <definedName name="_xlnm.Print_Area" localSheetId="4">Dashboard!$A$1:$U$41</definedName>
    <definedName name="Slicer_Product_Name">#N/A</definedName>
    <definedName name="Slicer_Region">#N/A</definedName>
    <definedName name="Slicer_Salesperson">#N/A</definedName>
  </definedNames>
  <calcPr calcId="191029"/>
  <pivotCaches>
    <pivotCache cacheId="4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5" i="6" l="1"/>
  <c r="B5" i="6"/>
  <c r="M2" i="4"/>
  <c r="B7" i="3"/>
  <c r="I3" i="1"/>
  <c r="I4" i="1"/>
  <c r="K4" i="1" s="1"/>
  <c r="I5" i="1"/>
  <c r="I6" i="1"/>
  <c r="K6" i="1" s="1"/>
  <c r="I2" i="1"/>
  <c r="B2" i="3" s="1"/>
  <c r="B5" i="3" l="1"/>
  <c r="B4" i="3"/>
  <c r="K2" i="1"/>
  <c r="L2" i="1"/>
  <c r="L6" i="1"/>
  <c r="L3" i="1"/>
  <c r="K5" i="1"/>
  <c r="B6" i="3"/>
  <c r="L5" i="1"/>
  <c r="L4" i="1"/>
  <c r="K3" i="1"/>
  <c r="B3" i="3" s="1"/>
  <c r="B8" i="3" l="1"/>
  <c r="B9" i="3"/>
</calcChain>
</file>

<file path=xl/sharedStrings.xml><?xml version="1.0" encoding="utf-8"?>
<sst xmlns="http://schemas.openxmlformats.org/spreadsheetml/2006/main" count="119" uniqueCount="60">
  <si>
    <t>Order ID</t>
  </si>
  <si>
    <t>Date</t>
  </si>
  <si>
    <t>Product Name</t>
  </si>
  <si>
    <t>Category</t>
  </si>
  <si>
    <t>Region</t>
  </si>
  <si>
    <t>Salesperson</t>
  </si>
  <si>
    <t>Quantity</t>
  </si>
  <si>
    <t>Unit Price</t>
  </si>
  <si>
    <t>Revenue</t>
  </si>
  <si>
    <t>Target</t>
  </si>
  <si>
    <t>SO-1001</t>
  </si>
  <si>
    <t>Laptop</t>
  </si>
  <si>
    <t>Electronics</t>
  </si>
  <si>
    <t>West</t>
  </si>
  <si>
    <t>Priya</t>
  </si>
  <si>
    <t>SO-1002</t>
  </si>
  <si>
    <t>Mobile</t>
  </si>
  <si>
    <t>North</t>
  </si>
  <si>
    <t>Rahul</t>
  </si>
  <si>
    <t>SO-1003</t>
  </si>
  <si>
    <t>Headphones</t>
  </si>
  <si>
    <t>Accessories</t>
  </si>
  <si>
    <t>South</t>
  </si>
  <si>
    <t>Neha</t>
  </si>
  <si>
    <t>SO-1004</t>
  </si>
  <si>
    <t>Printer</t>
  </si>
  <si>
    <t>Office</t>
  </si>
  <si>
    <t>East</t>
  </si>
  <si>
    <t>Aman</t>
  </si>
  <si>
    <t>SO-1005</t>
  </si>
  <si>
    <t>Tablet</t>
  </si>
  <si>
    <t>Product ID</t>
  </si>
  <si>
    <t>Cost Price</t>
  </si>
  <si>
    <t>P-01</t>
  </si>
  <si>
    <t>P-02</t>
  </si>
  <si>
    <t>P-03</t>
  </si>
  <si>
    <t>P-04</t>
  </si>
  <si>
    <t>P-05</t>
  </si>
  <si>
    <t>Metric</t>
  </si>
  <si>
    <t>Value</t>
  </si>
  <si>
    <t>Total Sales</t>
  </si>
  <si>
    <t>Highest Sales</t>
  </si>
  <si>
    <t>Total Orders</t>
  </si>
  <si>
    <t>Total Revenue</t>
  </si>
  <si>
    <t>Product</t>
  </si>
  <si>
    <t>Sales Performance Dashboard</t>
  </si>
  <si>
    <t>Profit</t>
  </si>
  <si>
    <t>Target Status</t>
  </si>
  <si>
    <t>Total Profit</t>
  </si>
  <si>
    <t xml:space="preserve">Average Sales </t>
  </si>
  <si>
    <t xml:space="preserve">Lowest Sales </t>
  </si>
  <si>
    <t>Target Achieved</t>
  </si>
  <si>
    <t>Target Not Achieved</t>
  </si>
  <si>
    <t>Row Labels</t>
  </si>
  <si>
    <t>Grand Total</t>
  </si>
  <si>
    <t>Sum of Revenue</t>
  </si>
  <si>
    <t>2026</t>
  </si>
  <si>
    <t>May</t>
  </si>
  <si>
    <t xml:space="preserve">Target Achieved % </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</si>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</sst>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8" formatCode="_ [$₹-4009]\ * #,##0.00_ ;_ [$₹-4009]\ * \-#,##0.00_ ;_ [$₹-4009]\ * &quot;-&quot;??_ ;_ @_ "/>
    <numFmt numFmtId="169" formatCode="[$₹-4009]\ #,##0.00;[$₹-4009]\ \-#,##0.00"/>
  </numFmts>
  <fonts count="7">
    <font>
      <sz val="11"/>
      <name val="Carlito"/>
    </font>
    <font>
      <b/>
      <sz val="11"/>
      <color rgb="FFFFFFFF"/>
      <name val="Carlito"/>
    </font>
    <font>
      <b/>
      <sz val="11"/>
      <name val="Carlito"/>
    </font>
    <font>
      <sz val="11"/>
      <name val="Carlito"/>
    </font>
    <font>
      <b/>
      <sz val="11"/>
      <color theme="0"/>
      <name val="Carlito"/>
    </font>
    <font>
      <b/>
      <sz val="22"/>
      <color theme="0"/>
      <name val="Carlito"/>
    </font>
    <font>
      <b/>
      <sz val="20"/>
      <name val="Carlito"/>
    </font>
  </fonts>
  <fills count="8">
    <fill>
      <patternFill patternType="none"/>
    </fill>
    <fill>
      <patternFill patternType="gray125"/>
    </fill>
    <fill>
      <patternFill patternType="solid">
        <fgColor rgb="FF1D4ED8"/>
      </patternFill>
    </fill>
    <fill>
      <patternFill patternType="solid">
        <fgColor rgb="FF1D4ED8"/>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D376F0"/>
        <bgColor indexed="64"/>
      </patternFill>
    </fill>
    <fill>
      <patternFill patternType="solid">
        <fgColor rgb="FFFFFF66"/>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0" fontId="1" fillId="2" borderId="0" xfId="0" applyNumberFormat="1" applyFont="1" applyFill="1" applyBorder="1"/>
    <xf numFmtId="0" fontId="1" fillId="2" borderId="0" xfId="0" applyNumberFormat="1" applyFont="1" applyFill="1" applyBorder="1" applyAlignment="1">
      <alignment horizontal="center"/>
    </xf>
    <xf numFmtId="164" fontId="0" fillId="0" borderId="0" xfId="0" applyNumberFormat="1" applyFont="1" applyFill="1" applyBorder="1"/>
    <xf numFmtId="0" fontId="4" fillId="3" borderId="0" xfId="0" applyFont="1" applyFill="1"/>
    <xf numFmtId="168" fontId="0" fillId="0" borderId="0" xfId="0" applyNumberFormat="1"/>
    <xf numFmtId="0" fontId="4" fillId="3" borderId="1" xfId="0" applyFont="1" applyFill="1" applyBorder="1"/>
    <xf numFmtId="0" fontId="4" fillId="3" borderId="2" xfId="0" applyFont="1" applyFill="1" applyBorder="1"/>
    <xf numFmtId="0" fontId="0" fillId="0" borderId="3" xfId="0" applyBorder="1"/>
    <xf numFmtId="164" fontId="0" fillId="0" borderId="4" xfId="0" applyNumberFormat="1" applyFont="1" applyFill="1" applyBorder="1"/>
    <xf numFmtId="0" fontId="0" fillId="0" borderId="4" xfId="0" applyNumberFormat="1" applyFont="1" applyFill="1" applyBorder="1"/>
    <xf numFmtId="0" fontId="0" fillId="0" borderId="4" xfId="0" applyBorder="1"/>
    <xf numFmtId="0" fontId="0" fillId="0" borderId="5" xfId="0" applyBorder="1"/>
    <xf numFmtId="0" fontId="0" fillId="0" borderId="6" xfId="0" applyBorder="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0" fillId="3" borderId="0" xfId="0" applyFill="1" applyAlignment="1">
      <alignment horizontal="center"/>
    </xf>
    <xf numFmtId="169" fontId="0" fillId="0" borderId="4" xfId="0" applyNumberFormat="1" applyBorder="1"/>
    <xf numFmtId="169" fontId="0" fillId="0" borderId="0" xfId="0" applyNumberFormat="1"/>
    <xf numFmtId="0" fontId="6" fillId="4" borderId="1" xfId="0" applyFont="1" applyFill="1" applyBorder="1" applyAlignment="1">
      <alignment horizontal="center"/>
    </xf>
    <xf numFmtId="0" fontId="6" fillId="4" borderId="7" xfId="0" applyFont="1" applyFill="1" applyBorder="1" applyAlignment="1">
      <alignment horizontal="center"/>
    </xf>
    <xf numFmtId="0" fontId="6" fillId="4" borderId="2" xfId="0" applyFont="1" applyFill="1" applyBorder="1" applyAlignment="1">
      <alignment horizontal="center"/>
    </xf>
    <xf numFmtId="169" fontId="6" fillId="0" borderId="5" xfId="0" applyNumberFormat="1" applyFont="1" applyBorder="1" applyAlignment="1">
      <alignment horizontal="center"/>
    </xf>
    <xf numFmtId="169" fontId="6" fillId="0" borderId="8" xfId="0" applyNumberFormat="1" applyFont="1" applyBorder="1" applyAlignment="1">
      <alignment horizontal="center"/>
    </xf>
    <xf numFmtId="169" fontId="6" fillId="0" borderId="6" xfId="0" applyNumberFormat="1" applyFont="1" applyBorder="1" applyAlignment="1">
      <alignment horizontal="center"/>
    </xf>
    <xf numFmtId="0" fontId="6" fillId="5" borderId="1" xfId="0" applyFont="1" applyFill="1" applyBorder="1" applyAlignment="1">
      <alignment horizontal="center"/>
    </xf>
    <xf numFmtId="0" fontId="0" fillId="5" borderId="7" xfId="0" applyFill="1" applyBorder="1" applyAlignment="1">
      <alignment horizontal="center"/>
    </xf>
    <xf numFmtId="0" fontId="0" fillId="5" borderId="2" xfId="0" applyFill="1" applyBorder="1" applyAlignment="1">
      <alignment horizontal="center"/>
    </xf>
    <xf numFmtId="0" fontId="6" fillId="6" borderId="1" xfId="0" applyFont="1" applyFill="1" applyBorder="1" applyAlignment="1">
      <alignment horizontal="center"/>
    </xf>
    <xf numFmtId="0" fontId="2" fillId="6" borderId="7" xfId="0" applyFont="1" applyFill="1" applyBorder="1" applyAlignment="1">
      <alignment horizontal="center"/>
    </xf>
    <xf numFmtId="0" fontId="2" fillId="6" borderId="2" xfId="0" applyFont="1" applyFill="1" applyBorder="1" applyAlignment="1">
      <alignment horizontal="center"/>
    </xf>
    <xf numFmtId="9" fontId="6" fillId="0" borderId="5" xfId="1" applyFont="1" applyBorder="1" applyAlignment="1">
      <alignment horizontal="center"/>
    </xf>
    <xf numFmtId="9" fontId="6" fillId="0" borderId="8" xfId="1" applyFont="1" applyBorder="1" applyAlignment="1">
      <alignment horizontal="center"/>
    </xf>
    <xf numFmtId="9" fontId="6" fillId="0" borderId="6" xfId="1" applyFont="1" applyBorder="1" applyAlignment="1">
      <alignment horizontal="center"/>
    </xf>
    <xf numFmtId="0" fontId="6" fillId="7" borderId="1" xfId="0" applyFont="1" applyFill="1" applyBorder="1" applyAlignment="1">
      <alignment horizontal="center"/>
    </xf>
    <xf numFmtId="0" fontId="2" fillId="7" borderId="7" xfId="0" applyFont="1" applyFill="1" applyBorder="1" applyAlignment="1">
      <alignment horizontal="center"/>
    </xf>
    <xf numFmtId="0" fontId="2" fillId="7" borderId="2" xfId="0" applyFont="1" applyFill="1" applyBorder="1" applyAlignment="1">
      <alignment horizontal="center"/>
    </xf>
    <xf numFmtId="0" fontId="6" fillId="0" borderId="5" xfId="0" applyFont="1" applyBorder="1" applyAlignment="1">
      <alignment horizontal="center"/>
    </xf>
    <xf numFmtId="0" fontId="6" fillId="0" borderId="8" xfId="0" applyFont="1" applyBorder="1" applyAlignment="1">
      <alignment horizontal="center"/>
    </xf>
    <xf numFmtId="0" fontId="6" fillId="0" borderId="6" xfId="0" applyFont="1" applyBorder="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108">
    <dxf>
      <numFmt numFmtId="168" formatCode="_ [$₹-4009]\ * #,##0.00_ ;_ [$₹-4009]\ * \-#,##0.00_ ;_ [$₹-4009]\ * &quot;-&quot;??_ ;_ @_ "/>
    </dxf>
    <dxf>
      <numFmt numFmtId="169" formatCode="[$₹-4009]\ #,##0.00;[$₹-4009]\ \-#,##0.00"/>
    </dxf>
    <dxf>
      <numFmt numFmtId="168" formatCode="_ [$₹-4009]\ * #,##0.00_ ;_ [$₹-4009]\ * \-#,##0.00_ ;_ [$₹-4009]\ * &quot;-&quot;??_ ;_ @_ "/>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numFmt numFmtId="169" formatCode="[$₹-4009]\ #,##0.00;[$₹-4009]\ \-#,##0.00"/>
    </dxf>
    <dxf>
      <numFmt numFmtId="169" formatCode="[$₹-4009]\ #,##0.00;[$₹-4009]\ \-#,##0.00"/>
    </dxf>
    <dxf>
      <numFmt numFmtId="169" formatCode="[$₹-4009]\ #,##0.00;[$₹-4009]\ \-#,##0.00"/>
    </dxf>
    <dxf>
      <numFmt numFmtId="169" formatCode="[$₹-4009]\ #,##0.00;[$₹-4009]\ \-#,##0.0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69" formatCode="[$₹-4009]\ #,##0.00;[$₹-4009]\ \-#,##0.00"/>
    </dxf>
    <dxf>
      <numFmt numFmtId="169" formatCode="[$₹-4009]\ #,##0.00;[$₹-4009]\ \-#,##0.00"/>
    </dxf>
    <dxf>
      <numFmt numFmtId="169" formatCode="[$₹-4009]\ #,##0.00;[$₹-4009]\ \-#,##0.00"/>
    </dxf>
    <dxf>
      <numFmt numFmtId="169" formatCode="[$₹-4009]\ #,##0.00;[$₹-4009]\ \-#,##0.00"/>
    </dxf>
    <dxf>
      <numFmt numFmtId="168" formatCode="_ [$₹-4009]\ * #,##0.00_ ;_ [$₹-4009]\ * \-#,##0.00_ ;_ [$₹-4009]\ * &quot;-&quot;??_ ;_ @_ "/>
    </dxf>
    <dxf>
      <font>
        <b/>
        <i val="0"/>
        <strike val="0"/>
        <condense val="0"/>
        <extend val="0"/>
        <outline val="0"/>
        <shadow val="0"/>
        <u val="none"/>
        <vertAlign val="baseline"/>
        <sz val="11"/>
        <color rgb="FFFFFFFF"/>
        <name val="Carlito"/>
        <scheme val="none"/>
      </font>
      <numFmt numFmtId="0" formatCode="General"/>
      <fill>
        <patternFill patternType="solid">
          <fgColor indexed="64"/>
          <bgColor rgb="FF1D4ED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rlito"/>
        <scheme val="none"/>
      </font>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64" formatCode="\₹#,##0"/>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64" formatCode="\₹#,##0"/>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64" formatCode="\₹#,##0"/>
      <fill>
        <patternFill patternType="none">
          <fgColor indexed="64"/>
          <bgColor indexed="65"/>
        </patternFill>
      </fill>
    </dxf>
  </dxfs>
  <tableStyles count="0" defaultTableStyle="TableStyleMedium2" defaultPivotStyle="PivotStyleLight16"/>
  <colors>
    <mruColors>
      <color rgb="FF1D4ED8"/>
      <color rgb="FFFFFF66"/>
      <color rgb="FFD376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[Sales-performance-dashboard.xlsx]Pivot_Summary!PivotTable6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Pivot_Summary!$D$13:$D$15</c:f>
              <c:multiLvlStrCache>
                <c:ptCount val="1"/>
                <c:lvl>
                  <c:pt idx="0">
                    <c:v>May</c:v>
                  </c:pt>
                </c:lvl>
                <c:lvl>
                  <c:pt idx="0">
                    <c:v>2026</c:v>
                  </c:pt>
                </c:lvl>
              </c:multiLvlStrCache>
            </c:multiLvlStrRef>
          </c:cat>
          <c:val>
            <c:numRef>
              <c:f>Pivot_Summary!$E$13:$E$15</c:f>
              <c:numCache>
                <c:formatCode>[$₹-4009]\ #,##0.00;[$₹-4009]\ \-#,##0.00</c:formatCode>
                <c:ptCount val="1"/>
                <c:pt idx="0">
                  <c:v>527000</c:v>
                </c:pt>
              </c:numCache>
            </c:numRef>
          </c:val>
          <c:extLst>
            <c:ext xmlns:c16="http://schemas.microsoft.com/office/drawing/2014/chart" uri="{C3380CC4-5D6E-409C-BE32-E72D297353CC}">
              <c16:uniqueId val="{00000000-274F-4644-A0CB-576DCCB3E5E7}"/>
            </c:ext>
          </c:extLst>
        </c:ser>
        <c:dLbls>
          <c:dLblPos val="outEnd"/>
          <c:showLegendKey val="0"/>
          <c:showVal val="1"/>
          <c:showCatName val="0"/>
          <c:showSerName val="0"/>
          <c:showPercent val="0"/>
          <c:showBubbleSize val="0"/>
        </c:dLbls>
        <c:gapWidth val="219"/>
        <c:overlap val="-27"/>
        <c:axId val="1849817392"/>
        <c:axId val="1853024976"/>
      </c:barChart>
      <c:catAx>
        <c:axId val="18498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024976"/>
        <c:crosses val="autoZero"/>
        <c:auto val="1"/>
        <c:lblAlgn val="ctr"/>
        <c:lblOffset val="100"/>
        <c:noMultiLvlLbl val="0"/>
      </c:catAx>
      <c:valAx>
        <c:axId val="1853024976"/>
        <c:scaling>
          <c:orientation val="minMax"/>
        </c:scaling>
        <c:delete val="0"/>
        <c:axPos val="l"/>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1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[Sales-performance-dashboard.xlsx]Pivot_Summary!PivotTable2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Product-Wise</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Pivot_Summary!$E$3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Pivot_Summary!$D$4:$D$9</c:f>
              <c:strCache>
                <c:ptCount val="5"/>
                <c:pt idx="0">
                  <c:v>Headphones</c:v>
                </c:pt>
                <c:pt idx="1">
                  <c:v>Laptop</c:v>
                </c:pt>
                <c:pt idx="2">
                  <c:v>Mobile</c:v>
                </c:pt>
                <c:pt idx="3">
                  <c:v>Printer</c:v>
                </c:pt>
                <c:pt idx="4">
                  <c:v>Tablet</c:v>
                </c:pt>
              </c:strCache>
            </c:strRef>
          </c:cat>
          <c:val>
            <c:numRef>
              <c:f>Pivot_Summary!$E$4:$E$9</c:f>
              <c:numCache>
                <c:formatCode>[$₹-4009]\ #,##0.00;[$₹-4009]\ \-#,##0.00</c:formatCode>
                <c:ptCount val="5"/>
                <c:pt idx="0">
                  <c:v>50000</c:v>
                </c:pt>
                <c:pt idx="1">
                  <c:v>165000</c:v>
                </c:pt>
                <c:pt idx="2">
                  <c:v>144000</c:v>
                </c:pt>
                <c:pt idx="3">
                  <c:v>48000</c:v>
                </c:pt>
                <c:pt idx="4">
                  <c:v>120000</c:v>
                </c:pt>
              </c:numCache>
            </c:numRef>
          </c:val>
          <c:extLst>
            <c:ext xmlns:c16="http://schemas.microsoft.com/office/drawing/2014/chart" uri="{C3380CC4-5D6E-409C-BE32-E72D297353CC}">
              <c16:uniqueId val="{00000000-BD3A-41EE-A7FF-1DE27537BD75}"/>
            </c:ext>
          </c:extLst>
        </c:ser>
        <c:dLbls>
          <c:dLblPos val="outEnd"/>
          <c:showLegendKey val="0"/>
          <c:showVal val="1"/>
          <c:showCatName val="0"/>
          <c:showSerName val="0"/>
          <c:showPercent val="0"/>
          <c:showBubbleSize val="0"/>
        </c:dLbls>
        <c:gapWidth val="182"/>
        <c:axId val="1904272848"/>
        <c:axId val="1853029968"/>
      </c:barChart>
      <c:catAx>
        <c:axId val="190427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029968"/>
        <c:crosses val="autoZero"/>
        <c:auto val="1"/>
        <c:lblAlgn val="ctr"/>
        <c:lblOffset val="100"/>
        <c:noMultiLvlLbl val="0"/>
      </c:catAx>
      <c:valAx>
        <c:axId val="1853029968"/>
        <c:scaling>
          <c:orientation val="minMax"/>
        </c:scaling>
        <c:delete val="0"/>
        <c:axPos val="b"/>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7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[Sales-performance-dashboard.xlsx]Pivot_Summary!PivotTable1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Region-Wise</a:t>
            </a:r>
            <a:r>
              <a:rPr lang="en-IN" b="1" baseline="0"/>
              <a:t> Sales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Pivot_Summary!$B$3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2D-4660-B8F1-4FDC97CCD6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2D-4660-B8F1-4FDC97CCD6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2D-4660-B8F1-4FDC97CCD6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2D-4660-B8F1-4FDC97CCD6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Pivot_Summary!$A$4:$A$8</c:f>
              <c:strCache>
                <c:ptCount val="4"/>
                <c:pt idx="0">
                  <c:v>East</c:v>
                </c:pt>
                <c:pt idx="1">
                  <c:v>North</c:v>
                </c:pt>
                <c:pt idx="2">
                  <c:v>South</c:v>
                </c:pt>
                <c:pt idx="3">
                  <c:v>West</c:v>
                </c:pt>
              </c:strCache>
            </c:strRef>
          </c:cat>
          <c:val>
            <c:numRef>
              <c:f>Pivot_Summary!$B$4:$B$8</c:f>
              <c:numCache>
                <c:formatCode>[$₹-4009]\ #,##0.00;[$₹-4009]\ \-#,##0.00</c:formatCode>
                <c:ptCount val="4"/>
                <c:pt idx="0">
                  <c:v>48000</c:v>
                </c:pt>
                <c:pt idx="1">
                  <c:v>144000</c:v>
                </c:pt>
                <c:pt idx="2">
                  <c:v>50000</c:v>
                </c:pt>
                <c:pt idx="3">
                  <c:v>285000</c:v>
                </c:pt>
              </c:numCache>
            </c:numRef>
          </c:val>
          <c:extLst>
            <c:ext xmlns:c16="http://schemas.microsoft.com/office/drawing/2014/chart" uri="{C3380CC4-5D6E-409C-BE32-E72D297353CC}">
              <c16:uniqueId val="{00000008-392D-4660-B8F1-4FDC97CCD6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[Sales-performance-dashboard.xlsx]Pivot_Summary!PivotTable3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Salesperson</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Pivot_Summary!$B$12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CE-4CF1-8F56-2F22560530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CE-4CF1-8F56-2F22560530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CE-4CF1-8F56-2F22560530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CE-4CF1-8F56-2F2256053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Pivot_Summary!$A$13:$A$17</c:f>
              <c:strCache>
                <c:ptCount val="4"/>
                <c:pt idx="0">
                  <c:v>Aman</c:v>
                </c:pt>
                <c:pt idx="1">
                  <c:v>Neha</c:v>
                </c:pt>
                <c:pt idx="2">
                  <c:v>Priya</c:v>
                </c:pt>
                <c:pt idx="3">
                  <c:v>Rahul</c:v>
                </c:pt>
              </c:strCache>
            </c:strRef>
          </c:cat>
          <c:val>
            <c:numRef>
              <c:f>Pivot_Summary!$B$13:$B$17</c:f>
              <c:numCache>
                <c:formatCode>[$₹-4009]\ #,##0.00;[$₹-4009]\ \-#,##0.00</c:formatCode>
                <c:ptCount val="4"/>
                <c:pt idx="0">
                  <c:v>48000</c:v>
                </c:pt>
                <c:pt idx="1">
                  <c:v>50000</c:v>
                </c:pt>
                <c:pt idx="2">
                  <c:v>285000</c:v>
                </c:pt>
                <c:pt idx="3">
                  <c:v>144000</c:v>
                </c:pt>
              </c:numCache>
            </c:numRef>
          </c:val>
          <c:extLst>
            <c:ext xmlns:c16="http://schemas.microsoft.com/office/drawing/2014/chart" uri="{C3380CC4-5D6E-409C-BE32-E72D297353CC}">
              <c16:uniqueId val="{00000008-B1CE-4CF1-8F56-2F22560530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209549</xdr:colOff>
      <xdr:row>7</xdr:row>
      <xdr:rowOff>171450</xdr:rowOff>
    </xdr:from>
    <xdr:to>
      <xdr:col>7</xdr:col>
      <xdr:colOff>219074</xdr:colOff>
      <xdr:row>22</xdr:row>
      <xdr:rowOff>152400</xdr:rowOff>
    </xdr:to>
    <xdr:graphicFrame macro="">
      <xdr:nvGraphicFramePr>
        <xdr:cNvPr id="2" name="Chart 1">
          <a:extLst>
            <a:ext uri="{FF2B5EF4-FFF2-40B4-BE49-F238E27FC236}">
              <a16:creationId xmlns:a16="http://schemas.microsoft.com/office/drawing/2014/main" id="{26432B5C-F537-4604-AF59-38147B4F7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171448</xdr:colOff>
      <xdr:row>25</xdr:row>
      <xdr:rowOff>171450</xdr:rowOff>
    </xdr:from>
    <xdr:to>
      <xdr:col>11</xdr:col>
      <xdr:colOff>600074</xdr:colOff>
      <xdr:row>41</xdr:row>
      <xdr:rowOff>19050</xdr:rowOff>
    </xdr:to>
    <xdr:graphicFrame macro="">
      <xdr:nvGraphicFramePr>
        <xdr:cNvPr id="3" name="Chart 2">
          <a:extLst>
            <a:ext uri="{FF2B5EF4-FFF2-40B4-BE49-F238E27FC236}">
              <a16:creationId xmlns:a16="http://schemas.microsoft.com/office/drawing/2014/main" id="{6FFC5DFA-568A-41A3-B29F-336E10571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7</xdr:row>
      <xdr:rowOff>152400</xdr:rowOff>
    </xdr:from>
    <xdr:to>
      <xdr:col>15</xdr:col>
      <xdr:colOff>123825</xdr:colOff>
      <xdr:row>23</xdr:row>
      <xdr:rowOff>0</xdr:rowOff>
    </xdr:to>
    <xdr:graphicFrame macro="">
      <xdr:nvGraphicFramePr>
        <xdr:cNvPr id="4" name="Chart 3">
          <a:extLst>
            <a:ext uri="{FF2B5EF4-FFF2-40B4-BE49-F238E27FC236}">
              <a16:creationId xmlns:a16="http://schemas.microsoft.com/office/drawing/2014/main" id="{91A1505D-A90E-4A65-B1B1-9AADAE12A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981075</xdr:colOff>
      <xdr:row>25</xdr:row>
      <xdr:rowOff>161925</xdr:rowOff>
    </xdr:from>
    <xdr:to>
      <xdr:col>17</xdr:col>
      <xdr:colOff>438150</xdr:colOff>
      <xdr:row>41</xdr:row>
      <xdr:rowOff>9525</xdr:rowOff>
    </xdr:to>
    <xdr:graphicFrame macro="">
      <xdr:nvGraphicFramePr>
        <xdr:cNvPr id="5" name="Chart 4">
          <a:extLst>
            <a:ext uri="{FF2B5EF4-FFF2-40B4-BE49-F238E27FC236}">
              <a16:creationId xmlns:a16="http://schemas.microsoft.com/office/drawing/2014/main" id="{173F6777-A0C6-4E43-BBB6-3CFA59E08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495300</xdr:colOff>
      <xdr:row>3</xdr:row>
      <xdr:rowOff>19051</xdr:rowOff>
    </xdr:from>
    <xdr:to>
      <xdr:col>19</xdr:col>
      <xdr:colOff>266700</xdr:colOff>
      <xdr:row>10</xdr:row>
      <xdr:rowOff>28576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EE7370F-8656-4C1A-B2B5-BB5B1FA3F9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59936" y="538596"/>
              <a:ext cx="1849582"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11</xdr:row>
      <xdr:rowOff>28576</xdr:rowOff>
    </xdr:from>
    <xdr:to>
      <xdr:col>19</xdr:col>
      <xdr:colOff>266700</xdr:colOff>
      <xdr:row>21</xdr:row>
      <xdr:rowOff>104776</xdr:rowOff>
    </xdr:to>
    <mc:AlternateContent xmlns:mc="http://schemas.openxmlformats.org/markup-compatibility/2006">
      <mc:Choice xmlns:a14="http://schemas.microsoft.com/office/drawing/2010/main" Requires="a14">
        <xdr:graphicFrame macro="">
          <xdr:nvGraphicFramePr>
            <xdr:cNvPr id="7" name="Product Name">
              <a:extLst>
                <a:ext uri="{FF2B5EF4-FFF2-40B4-BE49-F238E27FC236}">
                  <a16:creationId xmlns:a16="http://schemas.microsoft.com/office/drawing/2014/main" id="{65D30E8A-D256-4B03-8F68-4278EF80BAD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1959936" y="2245303"/>
              <a:ext cx="1849582" cy="1808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584868</xdr:colOff>
      <xdr:row>24</xdr:row>
      <xdr:rowOff>66843</xdr:rowOff>
    </xdr:from>
    <xdr:to>
      <xdr:col>20</xdr:col>
      <xdr:colOff>358273</xdr:colOff>
      <xdr:row>33</xdr:row>
      <xdr:rowOff>41275</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0BE16EA8-5C90-495C-96E3-1BAC4AB3B01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742232" y="4534934"/>
              <a:ext cx="1851586" cy="1533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0.206787615738" createdVersion="6" refreshedVersion="6" minRefreshableVersion="3" recordCount="5" xr:uid="{64715B57-A676-45AB-93F7-FB6CB7210F8C}">
  <cacheSource type="worksheet">
    <worksheetSource name="Table1"/>
  </cacheSource>
  <cacheFields count="13">
    <cacheField name="Order ID" numFmtId="0">
      <sharedItems/>
    </cacheField>
    <cacheField name="Date" numFmtId="14">
      <sharedItems containsSemiMixedTypes="0" containsNonDate="0" containsDate="1" containsString="0" minDate="2026-05-01T00:00:00" maxDate="2026-05-10T00:00:00" count="5">
        <d v="2026-05-01T00:00:00"/>
        <d v="2026-05-03T00:00:00"/>
        <d v="2026-05-05T00:00:00"/>
        <d v="2026-05-07T00:00:00"/>
        <d v="2026-05-09T00:00:00"/>
      </sharedItems>
      <fieldGroup par="12" base="1">
        <rangePr groupBy="months" startDate="2026-05-01T00:00:00" endDate="2026-05-10T00:00:00"/>
        <groupItems count="14">
          <s v="&lt;5/1/2026"/>
          <s v="Jan"/>
          <s v="Feb"/>
          <s v="Mar"/>
          <s v="Apr"/>
          <s v="May"/>
          <s v="Jun"/>
          <s v="Jul"/>
          <s v="Aug"/>
          <s v="Sep"/>
          <s v="Oct"/>
          <s v="Nov"/>
          <s v="Dec"/>
          <s v="&gt;5/10/2026"/>
        </groupItems>
      </fieldGroup>
    </cacheField>
    <cacheField name="Product Name" numFmtId="0">
      <sharedItems count="5">
        <s v="Laptop"/>
        <s v="Mobile"/>
        <s v="Headphones"/>
        <s v="Printer"/>
        <s v="Tablet"/>
      </sharedItems>
    </cacheField>
    <cacheField name="Category" numFmtId="0">
      <sharedItems/>
    </cacheField>
    <cacheField name="Region" numFmtId="0">
      <sharedItems count="4">
        <s v="West"/>
        <s v="North"/>
        <s v="South"/>
        <s v="East"/>
      </sharedItems>
    </cacheField>
    <cacheField name="Salesperson" numFmtId="0">
      <sharedItems count="4">
        <s v="Priya"/>
        <s v="Rahul"/>
        <s v="Neha"/>
        <s v="Aman"/>
      </sharedItems>
    </cacheField>
    <cacheField name="Quantity" numFmtId="0">
      <sharedItems containsSemiMixedTypes="0" containsString="0" containsNumber="1" containsInteger="1" minValue="3" maxValue="20"/>
    </cacheField>
    <cacheField name="Unit Price" numFmtId="164">
      <sharedItems containsSemiMixedTypes="0" containsString="0" containsNumber="1" containsInteger="1" minValue="2500" maxValue="55000"/>
    </cacheField>
    <cacheField name="Revenue" numFmtId="164">
      <sharedItems containsSemiMixedTypes="0" containsString="0" containsNumber="1" containsInteger="1" minValue="48000" maxValue="165000"/>
    </cacheField>
    <cacheField name="Target" numFmtId="164">
      <sharedItems containsSemiMixedTypes="0" containsString="0" containsNumber="1" containsInteger="1" minValue="40000" maxValue="150000"/>
    </cacheField>
    <cacheField name="Profit" numFmtId="0">
      <sharedItems containsSemiMixedTypes="0" containsString="0" containsNumber="1" containsInteger="1" minValue="12000" maxValue="24000"/>
    </cacheField>
    <cacheField name="Target Status" numFmtId="0">
      <sharedItems/>
    </cacheField>
    <cacheField name="Years" numFmtId="0" databaseField="0">
      <fieldGroup base="1">
        <rangePr groupBy="years" startDate="2026-05-01T00:00:00" endDate="2026-05-10T00:00:00"/>
        <groupItems count="3">
          <s v="&lt;5/1/2026"/>
          <s v="2026"/>
          <s v="&gt;5/10/2026"/>
        </groupItems>
      </fieldGroup>
    </cacheField>
  </cacheFields>
  <extLst>
    <ext xmlns:x14="http://schemas.microsoft.com/office/spreadsheetml/2009/9/main" uri="{725AE2AE-9491-48be-B2B4-4EB974FC3084}">
      <x14:pivotCacheDefinition pivotCacheId="1191102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SO-1001"/>
    <x v="0"/>
    <x v="0"/>
    <s v="Electronics"/>
    <x v="0"/>
    <x v="0"/>
    <n v="3"/>
    <n v="55000"/>
    <n v="165000"/>
    <n v="150000"/>
    <n v="21000"/>
    <s v="Target Achieved"/>
  </r>
  <r>
    <s v="SO-1002"/>
    <x v="1"/>
    <x v="1"/>
    <s v="Electronics"/>
    <x v="1"/>
    <x v="1"/>
    <n v="8"/>
    <n v="18000"/>
    <n v="144000"/>
    <n v="120000"/>
    <n v="24000"/>
    <s v="Target Achieved"/>
  </r>
  <r>
    <s v="SO-1003"/>
    <x v="2"/>
    <x v="2"/>
    <s v="Accessories"/>
    <x v="2"/>
    <x v="2"/>
    <n v="20"/>
    <n v="2500"/>
    <n v="50000"/>
    <n v="40000"/>
    <n v="14000"/>
    <s v="Target Achieved"/>
  </r>
  <r>
    <s v="SO-1004"/>
    <x v="3"/>
    <x v="3"/>
    <s v="Office"/>
    <x v="3"/>
    <x v="3"/>
    <n v="4"/>
    <n v="12000"/>
    <n v="48000"/>
    <n v="60000"/>
    <n v="12000"/>
    <s v="Target Not Achieved"/>
  </r>
  <r>
    <s v="SO-1005"/>
    <x v="4"/>
    <x v="4"/>
    <s v="Electronics"/>
    <x v="0"/>
    <x v="0"/>
    <n v="5"/>
    <n v="24000"/>
    <n v="120000"/>
    <n v="100000"/>
    <n v="20000"/>
    <s v="Target Achiev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46213-666D-42F5-86AA-5938776B1363}" name="PivotTable6"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2:E15" firstHeaderRow="1" firstDataRow="1" firstDataCol="1"/>
  <pivotFields count="13">
    <pivotField showAll="0"/>
    <pivotField axis="axisRow" showAll="0">
      <items count="15">
        <item x="0"/>
        <item x="1"/>
        <item x="2"/>
        <item x="3"/>
        <item x="4"/>
        <item x="5"/>
        <item x="6"/>
        <item x="7"/>
        <item x="8"/>
        <item x="9"/>
        <item x="10"/>
        <item x="11"/>
        <item x="12"/>
        <item x="13"/>
        <item t="default"/>
      </items>
    </pivotField>
    <pivotField showAll="0">
      <items count="6">
        <item x="2"/>
        <item x="0"/>
        <item x="1"/>
        <item x="3"/>
        <item x="4"/>
        <item t="default"/>
      </items>
    </pivotField>
    <pivotField showAll="0"/>
    <pivotField showAll="0">
      <items count="5">
        <item x="3"/>
        <item x="1"/>
        <item x="2"/>
        <item x="0"/>
        <item t="default"/>
      </items>
    </pivotField>
    <pivotField showAll="0">
      <items count="5">
        <item x="3"/>
        <item x="2"/>
        <item x="0"/>
        <item x="1"/>
        <item t="default"/>
      </items>
    </pivotField>
    <pivotField showAll="0"/>
    <pivotField numFmtId="164" showAll="0"/>
    <pivotField dataField="1" numFmtId="164" showAll="0"/>
    <pivotField numFmtId="164" showAll="0"/>
    <pivotField showAll="0"/>
    <pivotField showAll="0"/>
    <pivotField axis="axisRow" showAll="0">
      <items count="4">
        <item x="0"/>
        <item x="1"/>
        <item x="2"/>
        <item t="default"/>
      </items>
    </pivotField>
  </pivotFields>
  <rowFields count="2">
    <field x="12"/>
    <field x="1"/>
  </rowFields>
  <rowItems count="3">
    <i>
      <x v="1"/>
    </i>
    <i r="1">
      <x v="5"/>
    </i>
    <i t="grand">
      <x/>
    </i>
  </rowItems>
  <colItems count="1">
    <i/>
  </colItems>
  <dataFields count="1">
    <dataField name="Sum of Revenue" fld="8" baseField="0" baseItem="0" numFmtId="169"/>
  </dataFields>
  <formats count="2">
    <format dxfId="102">
      <pivotArea dataOnly="0" labelOnly="1" outline="0" axis="axisValues" fieldPosition="0"/>
    </format>
    <format dxfId="9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51E03-4179-426F-8435-984DC23AC686}" name="PivotTable3"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2:B17"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items count="6">
        <item x="2"/>
        <item x="0"/>
        <item x="1"/>
        <item x="3"/>
        <item x="4"/>
        <item t="default"/>
      </items>
    </pivotField>
    <pivotField showAll="0"/>
    <pivotField showAll="0">
      <items count="5">
        <item x="3"/>
        <item x="1"/>
        <item x="2"/>
        <item x="0"/>
        <item t="default"/>
      </items>
    </pivotField>
    <pivotField axis="axisRow" showAll="0">
      <items count="5">
        <item x="3"/>
        <item x="2"/>
        <item x="0"/>
        <item x="1"/>
        <item t="default"/>
      </items>
    </pivotField>
    <pivotField showAll="0"/>
    <pivotField numFmtId="164" showAll="0"/>
    <pivotField dataField="1" numFmtId="164" showAll="0"/>
    <pivotField numFmtId="164" showAll="0"/>
    <pivotField showAll="0"/>
    <pivotField showAll="0"/>
    <pivotField showAll="0">
      <items count="4">
        <item x="0"/>
        <item x="1"/>
        <item x="2"/>
        <item t="default"/>
      </items>
    </pivotField>
  </pivotFields>
  <rowFields count="1">
    <field x="5"/>
  </rowFields>
  <rowItems count="5">
    <i>
      <x/>
    </i>
    <i>
      <x v="1"/>
    </i>
    <i>
      <x v="2"/>
    </i>
    <i>
      <x v="3"/>
    </i>
    <i t="grand">
      <x/>
    </i>
  </rowItems>
  <colItems count="1">
    <i/>
  </colItems>
  <dataFields count="1">
    <dataField name="Sum of Revenue" fld="8" baseField="0" baseItem="0" numFmtId="169"/>
  </dataFields>
  <formats count="1">
    <format dxfId="100">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73B53-A2F2-46A4-9614-7B9C507CE5D5}" name="PivotTable2"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9" firstHeaderRow="1" firstDataRow="1" firstDataCol="1"/>
  <pivotFields count="13">
    <pivotField showAll="0"/>
    <pivotField showAll="0">
      <items count="15">
        <item x="0"/>
        <item x="1"/>
        <item x="2"/>
        <item x="3"/>
        <item x="4"/>
        <item x="5"/>
        <item x="6"/>
        <item x="7"/>
        <item x="8"/>
        <item x="9"/>
        <item x="10"/>
        <item x="11"/>
        <item x="12"/>
        <item x="13"/>
        <item t="default"/>
      </items>
    </pivotField>
    <pivotField axis="axisRow" showAll="0">
      <items count="6">
        <item x="2"/>
        <item x="0"/>
        <item x="1"/>
        <item x="3"/>
        <item x="4"/>
        <item t="default"/>
      </items>
    </pivotField>
    <pivotField showAll="0"/>
    <pivotField showAll="0">
      <items count="5">
        <item x="3"/>
        <item x="1"/>
        <item x="2"/>
        <item x="0"/>
        <item t="default"/>
      </items>
    </pivotField>
    <pivotField showAll="0">
      <items count="5">
        <item x="3"/>
        <item x="2"/>
        <item x="0"/>
        <item x="1"/>
        <item t="default"/>
      </items>
    </pivotField>
    <pivotField showAll="0"/>
    <pivotField numFmtId="164" showAll="0"/>
    <pivotField dataField="1" numFmtId="164" showAll="0"/>
    <pivotField numFmtId="164" showAll="0"/>
    <pivotField showAll="0"/>
    <pivotField showAll="0"/>
    <pivotField showAll="0">
      <items count="4">
        <item x="0"/>
        <item x="1"/>
        <item x="2"/>
        <item t="default"/>
      </items>
    </pivotField>
  </pivotFields>
  <rowFields count="1">
    <field x="2"/>
  </rowFields>
  <rowItems count="6">
    <i>
      <x/>
    </i>
    <i>
      <x v="1"/>
    </i>
    <i>
      <x v="2"/>
    </i>
    <i>
      <x v="3"/>
    </i>
    <i>
      <x v="4"/>
    </i>
    <i t="grand">
      <x/>
    </i>
  </rowItems>
  <colItems count="1">
    <i/>
  </colItems>
  <dataFields count="1">
    <dataField name="Sum of Revenue" fld="8" baseField="0" baseItem="0" numFmtId="169"/>
  </dataFields>
  <formats count="1">
    <format dxfId="9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B6C5B1-5DE1-46E3-B6C5-47AA11AB69A4}" name="PivotTable1"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3">
    <pivotField showAll="0"/>
    <pivotField showAll="0">
      <items count="15">
        <item x="0"/>
        <item x="1"/>
        <item x="2"/>
        <item x="3"/>
        <item x="4"/>
        <item x="5"/>
        <item x="6"/>
        <item x="7"/>
        <item x="8"/>
        <item x="9"/>
        <item x="10"/>
        <item x="11"/>
        <item x="12"/>
        <item x="13"/>
        <item t="default"/>
      </items>
    </pivotField>
    <pivotField showAll="0">
      <items count="6">
        <item x="2"/>
        <item x="0"/>
        <item x="1"/>
        <item x="3"/>
        <item x="4"/>
        <item t="default"/>
      </items>
    </pivotField>
    <pivotField showAll="0"/>
    <pivotField axis="axisRow" showAll="0">
      <items count="5">
        <item x="3"/>
        <item x="1"/>
        <item x="2"/>
        <item x="0"/>
        <item t="default"/>
      </items>
    </pivotField>
    <pivotField showAll="0">
      <items count="5">
        <item x="3"/>
        <item x="2"/>
        <item x="0"/>
        <item x="1"/>
        <item t="default"/>
      </items>
    </pivotField>
    <pivotField showAll="0"/>
    <pivotField numFmtId="164" showAll="0"/>
    <pivotField dataField="1" numFmtId="164" showAll="0"/>
    <pivotField numFmtId="164" showAll="0"/>
    <pivotField showAll="0"/>
    <pivotField showAll="0"/>
    <pivotField showAll="0">
      <items count="4">
        <item x="0"/>
        <item x="1"/>
        <item x="2"/>
        <item t="default"/>
      </items>
    </pivotField>
  </pivotFields>
  <rowFields count="1">
    <field x="4"/>
  </rowFields>
  <rowItems count="5">
    <i>
      <x/>
    </i>
    <i>
      <x v="1"/>
    </i>
    <i>
      <x v="2"/>
    </i>
    <i>
      <x v="3"/>
    </i>
    <i t="grand">
      <x/>
    </i>
  </rowItems>
  <colItems count="1">
    <i/>
  </colItems>
  <dataFields count="1">
    <dataField name="Sum of Revenue" fld="8" baseField="0" baseItem="0" numFmtId="169"/>
  </dataFields>
  <formats count="1">
    <format dxfId="10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07755-E99C-4255-857E-6AA8076EAD6C}" sourceName="Region">
  <pivotTables>
    <pivotTable tabId="4" name="PivotTable2"/>
    <pivotTable tabId="4" name="PivotTable1"/>
    <pivotTable tabId="4" name="PivotTable3"/>
    <pivotTable tabId="4" name="PivotTable6"/>
  </pivotTables>
  <data>
    <tabular pivotCacheId="1191102957">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E1D9B58-341D-47B5-9ACE-4E86E94EFBB1}" sourceName="Product Name">
  <pivotTables>
    <pivotTable tabId="4" name="PivotTable2"/>
    <pivotTable tabId="4" name="PivotTable1"/>
    <pivotTable tabId="4" name="PivotTable3"/>
    <pivotTable tabId="4" name="PivotTable6"/>
  </pivotTables>
  <data>
    <tabular pivotCacheId="1191102957">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99D4EB9-489B-4873-81CF-9FA6CF1505D3}" sourceName="Salesperson">
  <pivotTables>
    <pivotTable tabId="4" name="PivotTable2"/>
    <pivotTable tabId="4" name="PivotTable1"/>
    <pivotTable tabId="4" name="PivotTable3"/>
    <pivotTable tabId="4" name="PivotTable6"/>
  </pivotTables>
  <data>
    <tabular pivotCacheId="119110295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3F8246-E249-419B-BA44-E1FDFEF9AA56}" cache="Slicer_Region" caption="Region" rowHeight="241300"/>
  <slicer name="Product Name" xr10:uid="{C0C39BFA-C817-48EE-83BB-50DCBAEBE4D0}" cache="Slicer_Product_Name" caption="Product Name" rowHeight="241300"/>
  <slicer name="Salesperson" xr10:uid="{99E50DCA-A808-4A56-8440-806B6FB82B4F}"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9A477E-AC1C-4EBB-9B21-964C1F23B555}" name="Table1" displayName="Table1" ref="A1:L6" totalsRowShown="0" headerRowDxfId="103" dataDxfId="104">
  <autoFilter ref="A1:L6" xr:uid="{9A0926F1-22D8-4A6F-8DCF-4E289CBD2968}"/>
  <tableColumns count="12">
    <tableColumn id="1" xr3:uid="{97EC78D0-6FA7-4214-8A13-78EC23264D0F}" name="Order ID"/>
    <tableColumn id="2" xr3:uid="{86F51763-85ED-47AE-A815-15CC05783FF9}" name="Date"/>
    <tableColumn id="3" xr3:uid="{958D5DC8-C8D0-4DA8-9322-4F6E2FC116AF}" name="Product Name"/>
    <tableColumn id="4" xr3:uid="{EF192480-BC41-426F-AD9F-7081CE288D10}" name="Category"/>
    <tableColumn id="5" xr3:uid="{A0344BF9-52E9-47C4-8748-0DD02F1160A0}" name="Region"/>
    <tableColumn id="6" xr3:uid="{27708F1F-5793-4CE7-A4C6-A55DF73918C1}" name="Salesperson"/>
    <tableColumn id="7" xr3:uid="{DC6599DD-4EE1-4177-9006-902C00E3F14A}" name="Quantity"/>
    <tableColumn id="8" xr3:uid="{407809F6-1E83-4DBB-996F-1237055B54DA}" name="Unit Price" dataDxfId="107"/>
    <tableColumn id="9" xr3:uid="{6D37D2E4-3EBD-4F5D-A823-179902E2B216}" name="Revenue" dataDxfId="106">
      <calculatedColumnFormula>G2*H2</calculatedColumnFormula>
    </tableColumn>
    <tableColumn id="10" xr3:uid="{7FBCCC76-8A9B-4F1A-B89E-7618E6C83FCF}" name="Target" dataDxfId="105"/>
    <tableColumn id="11" xr3:uid="{EAB8506C-F1C3-4EC4-9673-9F02F02EFA11}" name="Profit">
      <calculatedColumnFormula>I2-(G2*VLOOKUP(C2,Product_Master!$B$2:$E$6,4,FALSE))</calculatedColumnFormula>
    </tableColumn>
    <tableColumn id="12" xr3:uid="{4F6D9A86-7F44-47A0-81F0-C7309A24D532}" name="Target Status">
      <calculatedColumnFormula>IF(I2&gt;=J2,"Target Achieved","Target Not Achieved")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tabSelected="1" workbookViewId="0">
      <selection activeCell="B2" sqref="B2"/>
    </sheetView>
  </sheetViews>
  <sheetFormatPr defaultRowHeight="14.25"/>
  <cols>
    <col min="1" max="1" width="10.375" customWidth="1"/>
    <col min="2" max="2" width="10.125" bestFit="1" customWidth="1"/>
    <col min="3" max="3" width="15.25" customWidth="1"/>
    <col min="4" max="4" width="11" bestFit="1" customWidth="1"/>
    <col min="5" max="5" width="9.125" customWidth="1"/>
    <col min="6" max="6" width="13.875" customWidth="1"/>
    <col min="7" max="7" width="10.125" customWidth="1"/>
    <col min="8" max="8" width="11.5" customWidth="1"/>
    <col min="9" max="9" width="10.875" customWidth="1"/>
    <col min="10" max="10" width="8.625" customWidth="1"/>
    <col min="11" max="11" width="16" customWidth="1"/>
    <col min="12" max="12" width="17.5" bestFit="1" customWidth="1"/>
  </cols>
  <sheetData>
    <row r="1" spans="1:12" ht="15">
      <c r="A1" s="2" t="s">
        <v>0</v>
      </c>
      <c r="B1" s="2" t="s">
        <v>1</v>
      </c>
      <c r="C1" s="2" t="s">
        <v>2</v>
      </c>
      <c r="D1" s="2" t="s">
        <v>3</v>
      </c>
      <c r="E1" s="2" t="s">
        <v>4</v>
      </c>
      <c r="F1" s="2" t="s">
        <v>5</v>
      </c>
      <c r="G1" s="2" t="s">
        <v>6</v>
      </c>
      <c r="H1" s="2" t="s">
        <v>7</v>
      </c>
      <c r="I1" s="2" t="s">
        <v>8</v>
      </c>
      <c r="J1" s="2" t="s">
        <v>9</v>
      </c>
      <c r="K1" s="2" t="s">
        <v>46</v>
      </c>
      <c r="L1" s="4" t="s">
        <v>47</v>
      </c>
    </row>
    <row r="2" spans="1:12">
      <c r="A2" t="s">
        <v>10</v>
      </c>
      <c r="B2" s="16">
        <v>46143</v>
      </c>
      <c r="C2" t="s">
        <v>11</v>
      </c>
      <c r="D2" t="s">
        <v>12</v>
      </c>
      <c r="E2" t="s">
        <v>13</v>
      </c>
      <c r="F2" t="s">
        <v>14</v>
      </c>
      <c r="G2">
        <v>3</v>
      </c>
      <c r="H2" s="3">
        <v>55000</v>
      </c>
      <c r="I2" s="3">
        <f>G2*H2</f>
        <v>165000</v>
      </c>
      <c r="J2" s="3">
        <v>150000</v>
      </c>
      <c r="K2">
        <f>I2-(G2*VLOOKUP(C2,Product_Master!$B$2:$E$6,4,FALSE))</f>
        <v>21000</v>
      </c>
      <c r="L2" t="str">
        <f>IF(I2&gt;=J2,"Target Achieved","Target Not Achieved")</f>
        <v>Target Achieved</v>
      </c>
    </row>
    <row r="3" spans="1:12">
      <c r="A3" t="s">
        <v>15</v>
      </c>
      <c r="B3" s="16">
        <v>46145</v>
      </c>
      <c r="C3" t="s">
        <v>16</v>
      </c>
      <c r="D3" t="s">
        <v>12</v>
      </c>
      <c r="E3" t="s">
        <v>17</v>
      </c>
      <c r="F3" t="s">
        <v>18</v>
      </c>
      <c r="G3">
        <v>8</v>
      </c>
      <c r="H3" s="3">
        <v>18000</v>
      </c>
      <c r="I3" s="3">
        <f t="shared" ref="I3:I6" si="0">G3*H3</f>
        <v>144000</v>
      </c>
      <c r="J3" s="3">
        <v>120000</v>
      </c>
      <c r="K3">
        <f>I3-(G3*VLOOKUP(C3,Product_Master!$B$2:$E$6,4,FALSE))</f>
        <v>24000</v>
      </c>
      <c r="L3" t="str">
        <f t="shared" ref="L3:L6" si="1">IF(I3&gt;=J3,"Target Achieved","Target Not Achieved")</f>
        <v>Target Achieved</v>
      </c>
    </row>
    <row r="4" spans="1:12">
      <c r="A4" t="s">
        <v>19</v>
      </c>
      <c r="B4" s="16">
        <v>46147</v>
      </c>
      <c r="C4" t="s">
        <v>20</v>
      </c>
      <c r="D4" t="s">
        <v>21</v>
      </c>
      <c r="E4" t="s">
        <v>22</v>
      </c>
      <c r="F4" t="s">
        <v>23</v>
      </c>
      <c r="G4">
        <v>20</v>
      </c>
      <c r="H4" s="3">
        <v>2500</v>
      </c>
      <c r="I4" s="3">
        <f t="shared" si="0"/>
        <v>50000</v>
      </c>
      <c r="J4" s="3">
        <v>40000</v>
      </c>
      <c r="K4">
        <f>I4-(G4*VLOOKUP(C4,Product_Master!$B$2:$E$6,4,FALSE))</f>
        <v>14000</v>
      </c>
      <c r="L4" t="str">
        <f t="shared" si="1"/>
        <v>Target Achieved</v>
      </c>
    </row>
    <row r="5" spans="1:12">
      <c r="A5" t="s">
        <v>24</v>
      </c>
      <c r="B5" s="16">
        <v>46149</v>
      </c>
      <c r="C5" t="s">
        <v>25</v>
      </c>
      <c r="D5" t="s">
        <v>26</v>
      </c>
      <c r="E5" t="s">
        <v>27</v>
      </c>
      <c r="F5" t="s">
        <v>28</v>
      </c>
      <c r="G5">
        <v>4</v>
      </c>
      <c r="H5" s="3">
        <v>12000</v>
      </c>
      <c r="I5" s="3">
        <f t="shared" si="0"/>
        <v>48000</v>
      </c>
      <c r="J5" s="3">
        <v>60000</v>
      </c>
      <c r="K5">
        <f>I5-(G5*VLOOKUP(C5,Product_Master!$B$2:$E$6,4,FALSE))</f>
        <v>12000</v>
      </c>
      <c r="L5" t="str">
        <f t="shared" si="1"/>
        <v>Target Not Achieved</v>
      </c>
    </row>
    <row r="6" spans="1:12">
      <c r="A6" t="s">
        <v>29</v>
      </c>
      <c r="B6" s="16">
        <v>46151</v>
      </c>
      <c r="C6" t="s">
        <v>30</v>
      </c>
      <c r="D6" t="s">
        <v>12</v>
      </c>
      <c r="E6" t="s">
        <v>13</v>
      </c>
      <c r="F6" t="s">
        <v>14</v>
      </c>
      <c r="G6">
        <v>5</v>
      </c>
      <c r="H6" s="3">
        <v>24000</v>
      </c>
      <c r="I6" s="3">
        <f t="shared" si="0"/>
        <v>120000</v>
      </c>
      <c r="J6" s="3">
        <v>100000</v>
      </c>
      <c r="K6">
        <f>I6-(G6*VLOOKUP(C6,Product_Master!$B$2:$E$6,4,FALSE))</f>
        <v>20000</v>
      </c>
      <c r="L6" t="str">
        <f t="shared" si="1"/>
        <v>Target Achieved</v>
      </c>
    </row>
    <row r="7" spans="1:12">
      <c r="H7" s="3"/>
      <c r="I7" s="3"/>
      <c r="J7" s="3"/>
    </row>
    <row r="8" spans="1:12">
      <c r="H8" s="3"/>
      <c r="I8" s="3"/>
      <c r="J8" s="3"/>
    </row>
    <row r="9" spans="1:12">
      <c r="H9" s="3"/>
      <c r="I9" s="3"/>
      <c r="J9" s="3"/>
    </row>
    <row r="10" spans="1:12">
      <c r="H10" s="3"/>
      <c r="I10" s="3"/>
      <c r="J10" s="3"/>
    </row>
    <row r="11" spans="1:12">
      <c r="H11" s="3"/>
      <c r="I11" s="3"/>
      <c r="J11" s="3"/>
    </row>
    <row r="12" spans="1:12">
      <c r="H12" s="3"/>
      <c r="I12" s="3"/>
      <c r="J12" s="3"/>
    </row>
    <row r="13" spans="1:12">
      <c r="H13" s="3"/>
      <c r="I13" s="3"/>
      <c r="J13" s="3"/>
    </row>
    <row r="14" spans="1:12">
      <c r="H14" s="3"/>
      <c r="I14" s="3"/>
      <c r="J14" s="3"/>
    </row>
    <row r="15" spans="1:12">
      <c r="H15" s="3"/>
      <c r="I15" s="3"/>
      <c r="J15" s="3"/>
    </row>
    <row r="16" spans="1:12">
      <c r="H16" s="3"/>
      <c r="I16" s="3"/>
      <c r="J16" s="3"/>
    </row>
    <row r="17" spans="8:10">
      <c r="H17" s="3"/>
      <c r="I17" s="3"/>
      <c r="J17" s="3"/>
    </row>
    <row r="18" spans="8:10">
      <c r="H18" s="3"/>
      <c r="I18" s="3"/>
      <c r="J18" s="3"/>
    </row>
    <row r="19" spans="8:10">
      <c r="H19" s="3"/>
      <c r="I19" s="3"/>
      <c r="J19" s="3"/>
    </row>
    <row r="20" spans="8:10">
      <c r="H20" s="3"/>
      <c r="I20" s="3"/>
      <c r="J20" s="3"/>
    </row>
    <row r="21" spans="8:10">
      <c r="H21" s="3"/>
      <c r="I21" s="3"/>
      <c r="J21" s="3"/>
    </row>
    <row r="22" spans="8:10">
      <c r="H22" s="3"/>
      <c r="I22" s="3"/>
      <c r="J22" s="3"/>
    </row>
    <row r="23" spans="8:10">
      <c r="H23" s="3"/>
      <c r="I23" s="3"/>
      <c r="J23" s="3"/>
    </row>
    <row r="24" spans="8:10">
      <c r="H24" s="3"/>
      <c r="I24" s="3"/>
      <c r="J24" s="3"/>
    </row>
    <row r="25" spans="8:10">
      <c r="H25" s="3"/>
      <c r="I25" s="3"/>
      <c r="J25" s="3"/>
    </row>
    <row r="26" spans="8:10">
      <c r="H26" s="3"/>
      <c r="I26" s="3"/>
      <c r="J26" s="3"/>
    </row>
    <row r="27" spans="8:10">
      <c r="H27" s="3"/>
      <c r="I27" s="3"/>
      <c r="J27" s="3"/>
    </row>
    <row r="28" spans="8:10">
      <c r="H28" s="3"/>
      <c r="I28" s="3"/>
      <c r="J28" s="3"/>
    </row>
    <row r="29" spans="8:10">
      <c r="H29" s="3"/>
      <c r="I29" s="3"/>
      <c r="J29" s="3"/>
    </row>
    <row r="30" spans="8:10">
      <c r="H30" s="3"/>
      <c r="I30" s="3"/>
      <c r="J30" s="3"/>
    </row>
    <row r="31" spans="8:10">
      <c r="H31" s="3"/>
      <c r="I31" s="3"/>
      <c r="J31" s="3"/>
    </row>
    <row r="32" spans="8:10">
      <c r="H32" s="3"/>
      <c r="I32" s="3"/>
      <c r="J32" s="3"/>
    </row>
    <row r="33" spans="8:10">
      <c r="H33" s="3"/>
      <c r="I33" s="3"/>
      <c r="J33" s="3"/>
    </row>
    <row r="34" spans="8:10">
      <c r="H34" s="3"/>
      <c r="I34" s="3"/>
      <c r="J34" s="3"/>
    </row>
    <row r="35" spans="8:10">
      <c r="H35" s="3"/>
      <c r="I35" s="3"/>
      <c r="J35" s="3"/>
    </row>
    <row r="36" spans="8:10">
      <c r="H36" s="3"/>
      <c r="I36" s="3"/>
      <c r="J36" s="3"/>
    </row>
    <row r="37" spans="8:10">
      <c r="H37" s="3"/>
      <c r="I37" s="3"/>
      <c r="J37" s="3"/>
    </row>
    <row r="38" spans="8:10">
      <c r="H38" s="3"/>
      <c r="I38" s="3"/>
      <c r="J38" s="3"/>
    </row>
    <row r="39" spans="8:10">
      <c r="H39" s="3"/>
      <c r="I39" s="3"/>
      <c r="J39" s="3"/>
    </row>
    <row r="40" spans="8:10">
      <c r="H40" s="3"/>
      <c r="I40" s="3"/>
      <c r="J40" s="3"/>
    </row>
    <row r="41" spans="8:10">
      <c r="H41" s="3"/>
      <c r="I41" s="3"/>
      <c r="J41" s="3"/>
    </row>
    <row r="42" spans="8:10">
      <c r="H42" s="3"/>
      <c r="I42" s="3"/>
      <c r="J42" s="3"/>
    </row>
    <row r="43" spans="8:10">
      <c r="H43" s="3"/>
      <c r="I43" s="3"/>
      <c r="J43" s="3"/>
    </row>
    <row r="44" spans="8:10">
      <c r="H44" s="3"/>
      <c r="I44" s="3"/>
      <c r="J44" s="3"/>
    </row>
    <row r="45" spans="8:10">
      <c r="H45" s="3"/>
      <c r="I45" s="3"/>
      <c r="J45" s="3"/>
    </row>
    <row r="46" spans="8:10">
      <c r="H46" s="3"/>
      <c r="I46" s="3"/>
      <c r="J46" s="3"/>
    </row>
    <row r="47" spans="8:10">
      <c r="H47" s="3"/>
      <c r="I47" s="3"/>
      <c r="J47" s="3"/>
    </row>
    <row r="48" spans="8:10">
      <c r="H48" s="3"/>
      <c r="I48" s="3"/>
      <c r="J48" s="3"/>
    </row>
    <row r="49" spans="8:10">
      <c r="H49" s="3"/>
      <c r="I49" s="3"/>
      <c r="J49" s="3"/>
    </row>
    <row r="50" spans="8:10">
      <c r="H50" s="3"/>
      <c r="I50" s="3"/>
      <c r="J50" s="3"/>
    </row>
    <row r="51" spans="8:10">
      <c r="H51" s="3"/>
      <c r="I51" s="3"/>
      <c r="J51" s="3"/>
    </row>
    <row r="52" spans="8:10">
      <c r="H52" s="3"/>
      <c r="I52" s="3"/>
      <c r="J52" s="3"/>
    </row>
    <row r="53" spans="8:10">
      <c r="H53" s="3"/>
      <c r="I53" s="3"/>
      <c r="J53" s="3"/>
    </row>
    <row r="54" spans="8:10">
      <c r="H54" s="3"/>
      <c r="I54" s="3"/>
      <c r="J54" s="3"/>
    </row>
    <row r="55" spans="8:10">
      <c r="H55" s="3"/>
      <c r="I55" s="3"/>
      <c r="J55" s="3"/>
    </row>
    <row r="56" spans="8:10">
      <c r="H56" s="3"/>
      <c r="I56" s="3"/>
      <c r="J56" s="3"/>
    </row>
    <row r="57" spans="8:10">
      <c r="H57" s="3"/>
      <c r="I57" s="3"/>
      <c r="J57" s="3"/>
    </row>
    <row r="58" spans="8:10">
      <c r="H58" s="3"/>
      <c r="I58" s="3"/>
      <c r="J58" s="3"/>
    </row>
    <row r="59" spans="8:10">
      <c r="H59" s="3"/>
      <c r="I59" s="3"/>
      <c r="J59" s="3"/>
    </row>
    <row r="60" spans="8:10">
      <c r="H60" s="3"/>
      <c r="I60" s="3"/>
      <c r="J60" s="3"/>
    </row>
    <row r="61" spans="8:10">
      <c r="H61" s="3"/>
      <c r="I61" s="3"/>
      <c r="J61" s="3"/>
    </row>
    <row r="62" spans="8:10">
      <c r="H62" s="3"/>
      <c r="I62" s="3"/>
      <c r="J62" s="3"/>
    </row>
    <row r="63" spans="8:10">
      <c r="H63" s="3"/>
      <c r="I63" s="3"/>
      <c r="J63" s="3"/>
    </row>
    <row r="64" spans="8:10">
      <c r="H64" s="3"/>
      <c r="I64" s="3"/>
      <c r="J64" s="3"/>
    </row>
    <row r="65" spans="8:10">
      <c r="H65" s="3"/>
      <c r="I65" s="3"/>
      <c r="J65" s="3"/>
    </row>
    <row r="66" spans="8:10">
      <c r="H66" s="3"/>
      <c r="I66" s="3"/>
      <c r="J66" s="3"/>
    </row>
    <row r="67" spans="8:10">
      <c r="H67" s="3"/>
      <c r="I67" s="3"/>
      <c r="J67" s="3"/>
    </row>
    <row r="68" spans="8:10">
      <c r="H68" s="3"/>
      <c r="I68" s="3"/>
      <c r="J68" s="3"/>
    </row>
    <row r="69" spans="8:10">
      <c r="H69" s="3"/>
      <c r="I69" s="3"/>
      <c r="J69" s="3"/>
    </row>
    <row r="70" spans="8:10">
      <c r="H70" s="3"/>
      <c r="I70" s="3"/>
      <c r="J70" s="3"/>
    </row>
    <row r="71" spans="8:10">
      <c r="H71" s="3"/>
      <c r="I71" s="3"/>
      <c r="J71" s="3"/>
    </row>
    <row r="72" spans="8:10">
      <c r="H72" s="3"/>
      <c r="I72" s="3"/>
      <c r="J72" s="3"/>
    </row>
    <row r="73" spans="8:10">
      <c r="H73" s="3"/>
      <c r="I73" s="3"/>
      <c r="J73" s="3"/>
    </row>
    <row r="74" spans="8:10">
      <c r="H74" s="3"/>
      <c r="I74" s="3"/>
      <c r="J74" s="3"/>
    </row>
    <row r="75" spans="8:10">
      <c r="H75" s="3"/>
      <c r="I75" s="3"/>
      <c r="J75" s="3"/>
    </row>
    <row r="76" spans="8:10">
      <c r="H76" s="3"/>
      <c r="I76" s="3"/>
      <c r="J76" s="3"/>
    </row>
    <row r="77" spans="8:10">
      <c r="H77" s="3"/>
      <c r="I77" s="3"/>
      <c r="J77" s="3"/>
    </row>
    <row r="78" spans="8:10">
      <c r="H78" s="3"/>
      <c r="I78" s="3"/>
      <c r="J78" s="3"/>
    </row>
    <row r="79" spans="8:10">
      <c r="H79" s="3"/>
      <c r="I79" s="3"/>
      <c r="J79" s="3"/>
    </row>
    <row r="80" spans="8:10">
      <c r="H80" s="3"/>
      <c r="I80" s="3"/>
      <c r="J80" s="3"/>
    </row>
    <row r="81" spans="8:10">
      <c r="H81" s="3"/>
      <c r="I81" s="3"/>
      <c r="J81" s="3"/>
    </row>
    <row r="82" spans="8:10">
      <c r="H82" s="3"/>
      <c r="I82" s="3"/>
      <c r="J82" s="3"/>
    </row>
    <row r="83" spans="8:10">
      <c r="H83" s="3"/>
      <c r="I83" s="3"/>
      <c r="J83" s="3"/>
    </row>
    <row r="84" spans="8:10">
      <c r="H84" s="3"/>
      <c r="I84" s="3"/>
      <c r="J84" s="3"/>
    </row>
    <row r="85" spans="8:10">
      <c r="H85" s="3"/>
      <c r="I85" s="3"/>
      <c r="J85" s="3"/>
    </row>
    <row r="86" spans="8:10">
      <c r="H86" s="3"/>
      <c r="I86" s="3"/>
      <c r="J86" s="3"/>
    </row>
    <row r="87" spans="8:10">
      <c r="H87" s="3"/>
      <c r="I87" s="3"/>
      <c r="J87" s="3"/>
    </row>
    <row r="88" spans="8:10">
      <c r="H88" s="3"/>
      <c r="I88" s="3"/>
      <c r="J88" s="3"/>
    </row>
    <row r="89" spans="8:10">
      <c r="H89" s="3"/>
      <c r="I89" s="3"/>
      <c r="J89" s="3"/>
    </row>
    <row r="90" spans="8:10">
      <c r="H90" s="3"/>
      <c r="I90" s="3"/>
      <c r="J90" s="3"/>
    </row>
    <row r="91" spans="8:10">
      <c r="H91" s="3"/>
      <c r="I91" s="3"/>
      <c r="J91" s="3"/>
    </row>
    <row r="92" spans="8:10">
      <c r="H92" s="3"/>
      <c r="I92" s="3"/>
      <c r="J92" s="3"/>
    </row>
    <row r="93" spans="8:10">
      <c r="H93" s="3"/>
      <c r="I93" s="3"/>
      <c r="J93" s="3"/>
    </row>
    <row r="94" spans="8:10">
      <c r="H94" s="3"/>
      <c r="I94" s="3"/>
      <c r="J94" s="3"/>
    </row>
    <row r="95" spans="8:10">
      <c r="H95" s="3"/>
      <c r="I95" s="3"/>
      <c r="J95" s="3"/>
    </row>
    <row r="96" spans="8:10">
      <c r="H96" s="3"/>
      <c r="I96" s="3"/>
      <c r="J96" s="3"/>
    </row>
    <row r="97" spans="8:10">
      <c r="H97" s="3"/>
      <c r="I97" s="3"/>
      <c r="J97" s="3"/>
    </row>
    <row r="98" spans="8:10">
      <c r="H98" s="3"/>
      <c r="I98" s="3"/>
      <c r="J98" s="3"/>
    </row>
    <row r="99" spans="8:10">
      <c r="H99" s="3"/>
      <c r="I99" s="3"/>
      <c r="J99" s="3"/>
    </row>
    <row r="100" spans="8:10">
      <c r="H100" s="3"/>
      <c r="I100" s="3"/>
      <c r="J100" s="3"/>
    </row>
  </sheetData>
  <conditionalFormatting sqref="I7:I100">
    <cfRule type="dataBar" priority="5">
      <dataBar>
        <cfvo type="min"/>
        <cfvo type="max"/>
        <color rgb="FF156082"/>
      </dataBar>
    </cfRule>
  </conditionalFormatting>
  <conditionalFormatting sqref="I1">
    <cfRule type="top10" dxfId="97" priority="4" rank="1"/>
  </conditionalFormatting>
  <conditionalFormatting sqref="I1:I1048576">
    <cfRule type="dataBar" priority="1">
      <dataBar>
        <cfvo type="min"/>
        <cfvo type="max"/>
        <color rgb="FF638EC6"/>
      </dataBar>
      <extLst>
        <ext xmlns:x14="http://schemas.microsoft.com/office/spreadsheetml/2009/9/main" uri="{B025F937-C7B1-47D3-B67F-A62EFF666E3E}">
          <x14:id>{B81C07CE-D2B1-418E-BA98-8F78BA960315}</x14:id>
        </ext>
      </extLst>
    </cfRule>
    <cfRule type="top10" dxfId="96" priority="3" rank="1"/>
  </conditionalFormatting>
  <conditionalFormatting sqref="L1:L1048576">
    <cfRule type="containsText" dxfId="95" priority="2" operator="containsText" text="Target Not Achieved">
      <formula>NOT(ISERROR(SEARCH("Target Not Achieved",L1)))</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81C07CE-D2B1-418E-BA98-8F78BA960315}">
            <x14:dataBar minLength="0" maxLength="100" border="1" negativeBarBorderColorSameAsPositive="0">
              <x14:cfvo type="autoMin"/>
              <x14:cfvo type="autoMax"/>
              <x14:borderColor rgb="FF638EC6"/>
              <x14:negativeFillColor rgb="FFFF0000"/>
              <x14:negativeBorderColor rgb="FFFF0000"/>
              <x14:axisColor rgb="FF000000"/>
            </x14:dataBar>
          </x14:cfRule>
          <xm:sqref>I1:I1048576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workbookViewId="0">
      <selection activeCell="C2" sqref="C2"/>
    </sheetView>
  </sheetViews>
  <sheetFormatPr defaultRowHeight="14.25"/>
  <cols>
    <col min="1" max="1" width="8.625" customWidth="1"/>
    <col min="2" max="2" width="11.75" customWidth="1"/>
    <col min="3" max="3" width="11" bestFit="1" customWidth="1"/>
    <col min="4" max="5" width="8" customWidth="1"/>
  </cols>
  <sheetData>
    <row r="1" spans="1:5" ht="15">
      <c r="A1" s="1" t="s">
        <v>31</v>
      </c>
      <c r="B1" s="1" t="s">
        <v>2</v>
      </c>
      <c r="C1" s="1" t="s">
        <v>3</v>
      </c>
      <c r="D1" s="1" t="s">
        <v>7</v>
      </c>
      <c r="E1" s="1" t="s">
        <v>32</v>
      </c>
    </row>
    <row r="2" spans="1:5">
      <c r="A2" t="s">
        <v>33</v>
      </c>
      <c r="B2" t="s">
        <v>11</v>
      </c>
      <c r="C2" t="s">
        <v>12</v>
      </c>
      <c r="D2" s="3">
        <v>55000</v>
      </c>
      <c r="E2" s="3">
        <v>48000</v>
      </c>
    </row>
    <row r="3" spans="1:5">
      <c r="A3" t="s">
        <v>34</v>
      </c>
      <c r="B3" t="s">
        <v>16</v>
      </c>
      <c r="C3" t="s">
        <v>12</v>
      </c>
      <c r="D3" s="3">
        <v>18000</v>
      </c>
      <c r="E3" s="3">
        <v>15000</v>
      </c>
    </row>
    <row r="4" spans="1:5">
      <c r="A4" t="s">
        <v>35</v>
      </c>
      <c r="B4" t="s">
        <v>20</v>
      </c>
      <c r="C4" t="s">
        <v>21</v>
      </c>
      <c r="D4" s="3">
        <v>2500</v>
      </c>
      <c r="E4" s="3">
        <v>1800</v>
      </c>
    </row>
    <row r="5" spans="1:5">
      <c r="A5" t="s">
        <v>36</v>
      </c>
      <c r="B5" t="s">
        <v>25</v>
      </c>
      <c r="C5" t="s">
        <v>26</v>
      </c>
      <c r="D5" s="3">
        <v>12000</v>
      </c>
      <c r="E5" s="3">
        <v>9000</v>
      </c>
    </row>
    <row r="6" spans="1:5">
      <c r="A6" t="s">
        <v>37</v>
      </c>
      <c r="B6" t="s">
        <v>30</v>
      </c>
      <c r="C6" t="s">
        <v>12</v>
      </c>
      <c r="D6" s="3">
        <v>24000</v>
      </c>
      <c r="E6" s="3">
        <v>20000</v>
      </c>
    </row>
    <row r="7" spans="1:5">
      <c r="D7" s="3"/>
      <c r="E7" s="3"/>
    </row>
    <row r="8" spans="1:5">
      <c r="D8" s="3"/>
      <c r="E8" s="3"/>
    </row>
    <row r="9" spans="1:5">
      <c r="D9" s="3"/>
      <c r="E9" s="3"/>
    </row>
    <row r="10" spans="1:5">
      <c r="D10" s="3"/>
      <c r="E10" s="3"/>
    </row>
    <row r="11" spans="1:5">
      <c r="D11" s="3"/>
      <c r="E11" s="3"/>
    </row>
    <row r="12" spans="1:5">
      <c r="D12" s="3"/>
      <c r="E12" s="3"/>
    </row>
    <row r="13" spans="1:5">
      <c r="D13" s="3"/>
      <c r="E13" s="3"/>
    </row>
    <row r="14" spans="1:5">
      <c r="D14" s="3"/>
      <c r="E14" s="3"/>
    </row>
    <row r="15" spans="1:5">
      <c r="D15" s="3"/>
      <c r="E15" s="3"/>
    </row>
    <row r="16" spans="1:5">
      <c r="D16" s="3"/>
      <c r="E16" s="3"/>
    </row>
    <row r="17" spans="4:5">
      <c r="D17" s="3"/>
      <c r="E17" s="3"/>
    </row>
    <row r="18" spans="4:5">
      <c r="D18" s="3"/>
      <c r="E18" s="3"/>
    </row>
    <row r="19" spans="4:5">
      <c r="D19" s="3"/>
      <c r="E19" s="3"/>
    </row>
    <row r="20" spans="4:5">
      <c r="D20" s="3"/>
      <c r="E20" s="3"/>
    </row>
    <row r="21" spans="4:5">
      <c r="D21" s="3"/>
      <c r="E21" s="3"/>
    </row>
    <row r="22" spans="4:5">
      <c r="D22" s="3"/>
      <c r="E22" s="3"/>
    </row>
    <row r="23" spans="4:5">
      <c r="D23" s="3"/>
      <c r="E23" s="3"/>
    </row>
    <row r="24" spans="4:5">
      <c r="D24" s="3"/>
      <c r="E24" s="3"/>
    </row>
    <row r="25" spans="4:5">
      <c r="D25" s="3"/>
      <c r="E25" s="3"/>
    </row>
    <row r="26" spans="4:5">
      <c r="D26" s="3"/>
      <c r="E26" s="3"/>
    </row>
    <row r="27" spans="4:5">
      <c r="D27" s="3"/>
      <c r="E27" s="3"/>
    </row>
    <row r="28" spans="4:5">
      <c r="D28" s="3"/>
      <c r="E28" s="3"/>
    </row>
    <row r="29" spans="4:5">
      <c r="D29" s="3"/>
      <c r="E29" s="3"/>
    </row>
    <row r="30" spans="4:5">
      <c r="D30" s="3"/>
      <c r="E30" s="3"/>
    </row>
    <row r="31" spans="4:5">
      <c r="D31" s="3"/>
      <c r="E31" s="3"/>
    </row>
    <row r="32" spans="4:5">
      <c r="D32" s="3"/>
      <c r="E32" s="3"/>
    </row>
    <row r="33" spans="4:5">
      <c r="D33" s="3"/>
      <c r="E33" s="3"/>
    </row>
    <row r="34" spans="4:5">
      <c r="D34" s="3"/>
      <c r="E34" s="3"/>
    </row>
    <row r="35" spans="4:5">
      <c r="D35" s="3"/>
      <c r="E35" s="3"/>
    </row>
    <row r="36" spans="4:5">
      <c r="D36" s="3"/>
      <c r="E36" s="3"/>
    </row>
    <row r="37" spans="4:5">
      <c r="D37" s="3"/>
      <c r="E37" s="3"/>
    </row>
    <row r="38" spans="4:5">
      <c r="D38" s="3"/>
      <c r="E38" s="3"/>
    </row>
    <row r="39" spans="4:5">
      <c r="D39" s="3"/>
      <c r="E39" s="3"/>
    </row>
    <row r="40" spans="4:5">
      <c r="D40" s="3"/>
      <c r="E40" s="3"/>
    </row>
    <row r="41" spans="4:5">
      <c r="D41" s="3"/>
      <c r="E41" s="3"/>
    </row>
    <row r="42" spans="4:5">
      <c r="D42" s="3"/>
      <c r="E42" s="3"/>
    </row>
    <row r="43" spans="4:5">
      <c r="D43" s="3"/>
      <c r="E43" s="3"/>
    </row>
    <row r="44" spans="4:5">
      <c r="D44" s="3"/>
      <c r="E44" s="3"/>
    </row>
    <row r="45" spans="4:5">
      <c r="D45" s="3"/>
      <c r="E45" s="3"/>
    </row>
    <row r="46" spans="4:5">
      <c r="D46" s="3"/>
      <c r="E46" s="3"/>
    </row>
    <row r="47" spans="4:5">
      <c r="D47" s="3"/>
      <c r="E47" s="3"/>
    </row>
    <row r="48" spans="4:5">
      <c r="D48" s="3"/>
      <c r="E48" s="3"/>
    </row>
    <row r="49" spans="4:5">
      <c r="D49" s="3"/>
      <c r="E49" s="3"/>
    </row>
    <row r="50" spans="4:5">
      <c r="D50" s="3"/>
      <c r="E50" s="3"/>
    </row>
    <row r="51" spans="4:5">
      <c r="D51" s="3"/>
      <c r="E51" s="3"/>
    </row>
    <row r="52" spans="4:5">
      <c r="D52" s="3"/>
      <c r="E52" s="3"/>
    </row>
    <row r="53" spans="4:5">
      <c r="D53" s="3"/>
      <c r="E53" s="3"/>
    </row>
    <row r="54" spans="4:5">
      <c r="D54" s="3"/>
      <c r="E54" s="3"/>
    </row>
    <row r="55" spans="4:5">
      <c r="D55" s="3"/>
      <c r="E55" s="3"/>
    </row>
    <row r="56" spans="4:5">
      <c r="D56" s="3"/>
      <c r="E56" s="3"/>
    </row>
    <row r="57" spans="4:5">
      <c r="D57" s="3"/>
      <c r="E57" s="3"/>
    </row>
    <row r="58" spans="4:5">
      <c r="D58" s="3"/>
      <c r="E58" s="3"/>
    </row>
    <row r="59" spans="4:5">
      <c r="D59" s="3"/>
      <c r="E59" s="3"/>
    </row>
    <row r="60" spans="4:5">
      <c r="D60" s="3"/>
      <c r="E60" s="3"/>
    </row>
    <row r="61" spans="4:5">
      <c r="D61" s="3"/>
      <c r="E61" s="3"/>
    </row>
    <row r="62" spans="4:5">
      <c r="D62" s="3"/>
      <c r="E62" s="3"/>
    </row>
    <row r="63" spans="4:5">
      <c r="D63" s="3"/>
      <c r="E63" s="3"/>
    </row>
    <row r="64" spans="4:5">
      <c r="D64" s="3"/>
      <c r="E64" s="3"/>
    </row>
    <row r="65" spans="4:5">
      <c r="D65" s="3"/>
      <c r="E65" s="3"/>
    </row>
    <row r="66" spans="4:5">
      <c r="D66" s="3"/>
      <c r="E66" s="3"/>
    </row>
    <row r="67" spans="4:5">
      <c r="D67" s="3"/>
      <c r="E67" s="3"/>
    </row>
    <row r="68" spans="4:5">
      <c r="D68" s="3"/>
      <c r="E68" s="3"/>
    </row>
    <row r="69" spans="4:5">
      <c r="D69" s="3"/>
      <c r="E69" s="3"/>
    </row>
    <row r="70" spans="4:5">
      <c r="D70" s="3"/>
      <c r="E70" s="3"/>
    </row>
    <row r="71" spans="4:5">
      <c r="D71" s="3"/>
      <c r="E71" s="3"/>
    </row>
    <row r="72" spans="4:5">
      <c r="D72" s="3"/>
      <c r="E72" s="3"/>
    </row>
    <row r="73" spans="4:5">
      <c r="D73" s="3"/>
      <c r="E73" s="3"/>
    </row>
    <row r="74" spans="4:5">
      <c r="D74" s="3"/>
      <c r="E74" s="3"/>
    </row>
    <row r="75" spans="4:5">
      <c r="D75" s="3"/>
      <c r="E75" s="3"/>
    </row>
    <row r="76" spans="4:5">
      <c r="D76" s="3"/>
      <c r="E76" s="3"/>
    </row>
    <row r="77" spans="4:5">
      <c r="D77" s="3"/>
      <c r="E77" s="3"/>
    </row>
    <row r="78" spans="4:5">
      <c r="D78" s="3"/>
      <c r="E78" s="3"/>
    </row>
    <row r="79" spans="4:5">
      <c r="D79" s="3"/>
      <c r="E79" s="3"/>
    </row>
    <row r="80" spans="4:5">
      <c r="D80" s="3"/>
      <c r="E80" s="3"/>
    </row>
    <row r="81" spans="4:5">
      <c r="D81" s="3"/>
      <c r="E81" s="3"/>
    </row>
    <row r="82" spans="4:5">
      <c r="D82" s="3"/>
      <c r="E82" s="3"/>
    </row>
    <row r="83" spans="4:5">
      <c r="D83" s="3"/>
      <c r="E83" s="3"/>
    </row>
    <row r="84" spans="4:5">
      <c r="D84" s="3"/>
      <c r="E84" s="3"/>
    </row>
    <row r="85" spans="4:5">
      <c r="D85" s="3"/>
      <c r="E85" s="3"/>
    </row>
    <row r="86" spans="4:5">
      <c r="D86" s="3"/>
      <c r="E86" s="3"/>
    </row>
    <row r="87" spans="4:5">
      <c r="D87" s="3"/>
      <c r="E87" s="3"/>
    </row>
    <row r="88" spans="4:5">
      <c r="D88" s="3"/>
      <c r="E88" s="3"/>
    </row>
    <row r="89" spans="4:5">
      <c r="D89" s="3"/>
      <c r="E89" s="3"/>
    </row>
    <row r="90" spans="4:5">
      <c r="D90" s="3"/>
      <c r="E90" s="3"/>
    </row>
    <row r="91" spans="4:5">
      <c r="D91" s="3"/>
      <c r="E91" s="3"/>
    </row>
    <row r="92" spans="4:5">
      <c r="D92" s="3"/>
      <c r="E92" s="3"/>
    </row>
    <row r="93" spans="4:5">
      <c r="D93" s="3"/>
      <c r="E93" s="3"/>
    </row>
    <row r="94" spans="4:5">
      <c r="D94" s="3"/>
      <c r="E94" s="3"/>
    </row>
    <row r="95" spans="4:5">
      <c r="D95" s="3"/>
      <c r="E95" s="3"/>
    </row>
    <row r="96" spans="4:5">
      <c r="D96" s="3"/>
      <c r="E96" s="3"/>
    </row>
    <row r="97" spans="4:5">
      <c r="D97" s="3"/>
      <c r="E97" s="3"/>
    </row>
    <row r="98" spans="4:5">
      <c r="D98" s="3"/>
      <c r="E98" s="3"/>
    </row>
    <row r="99" spans="4:5">
      <c r="D99" s="3"/>
      <c r="E99" s="3"/>
    </row>
    <row r="100" spans="4:5">
      <c r="D100" s="3"/>
      <c r="E1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5" sqref="B5:B6"/>
    </sheetView>
  </sheetViews>
  <sheetFormatPr defaultRowHeight="14.25"/>
  <cols>
    <col min="1" max="1" width="17.875" customWidth="1"/>
    <col min="2" max="2" width="12.375" bestFit="1" customWidth="1"/>
  </cols>
  <sheetData>
    <row r="1" spans="1:2" ht="15">
      <c r="A1" s="6" t="s">
        <v>38</v>
      </c>
      <c r="B1" s="7" t="s">
        <v>39</v>
      </c>
    </row>
    <row r="2" spans="1:2">
      <c r="A2" s="8" t="s">
        <v>43</v>
      </c>
      <c r="B2" s="9">
        <f>SUM(Sales_Data!I:I)</f>
        <v>527000</v>
      </c>
    </row>
    <row r="3" spans="1:2">
      <c r="A3" s="8" t="s">
        <v>48</v>
      </c>
      <c r="B3" s="9">
        <f>SUM(Sales_Data!K:K)</f>
        <v>91000</v>
      </c>
    </row>
    <row r="4" spans="1:2">
      <c r="A4" s="8" t="s">
        <v>49</v>
      </c>
      <c r="B4" s="9">
        <f>AVERAGE(Sales_Data!I:I)</f>
        <v>105400</v>
      </c>
    </row>
    <row r="5" spans="1:2">
      <c r="A5" s="8" t="s">
        <v>41</v>
      </c>
      <c r="B5" s="19">
        <f>MAX(Sales_Data!I:I)</f>
        <v>165000</v>
      </c>
    </row>
    <row r="6" spans="1:2">
      <c r="A6" s="8" t="s">
        <v>50</v>
      </c>
      <c r="B6" s="19">
        <f>MIN(Sales_Data!I:I)</f>
        <v>48000</v>
      </c>
    </row>
    <row r="7" spans="1:2">
      <c r="A7" s="8" t="s">
        <v>42</v>
      </c>
      <c r="B7" s="10">
        <f>COUNTA(Sales_Data!A:A)-1</f>
        <v>5</v>
      </c>
    </row>
    <row r="8" spans="1:2">
      <c r="A8" s="8" t="s">
        <v>51</v>
      </c>
      <c r="B8" s="11">
        <f>COUNTIF(Sales_Data!L:L,"Target Achieved")</f>
        <v>4</v>
      </c>
    </row>
    <row r="9" spans="1:2">
      <c r="A9" s="12" t="s">
        <v>52</v>
      </c>
      <c r="B9" s="13">
        <f>COUNTIF(Sales_Data!L:L,"Target Not Achieved")</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43"/>
  <sheetViews>
    <sheetView workbookViewId="0">
      <selection activeCell="D14" sqref="D14"/>
    </sheetView>
  </sheetViews>
  <sheetFormatPr defaultRowHeight="14.25"/>
  <cols>
    <col min="1" max="1" width="13.125" bestFit="1" customWidth="1"/>
    <col min="2" max="2" width="15.75" bestFit="1" customWidth="1"/>
    <col min="4" max="4" width="13.125" bestFit="1" customWidth="1"/>
    <col min="5" max="5" width="16.75" bestFit="1" customWidth="1"/>
    <col min="7" max="7" width="13.125" bestFit="1" customWidth="1"/>
    <col min="8" max="8" width="16.75" bestFit="1" customWidth="1"/>
  </cols>
  <sheetData>
    <row r="2" spans="1:13">
      <c r="M2" t="b">
        <f>ISNUMBER(D13)</f>
        <v>0</v>
      </c>
    </row>
    <row r="3" spans="1:13">
      <c r="A3" s="14" t="s">
        <v>53</v>
      </c>
      <c r="B3" t="s">
        <v>55</v>
      </c>
      <c r="D3" s="14" t="s">
        <v>53</v>
      </c>
      <c r="E3" t="s">
        <v>55</v>
      </c>
    </row>
    <row r="4" spans="1:13">
      <c r="A4" s="15" t="s">
        <v>27</v>
      </c>
      <c r="B4" s="20">
        <v>48000</v>
      </c>
      <c r="D4" s="15" t="s">
        <v>20</v>
      </c>
      <c r="E4" s="20">
        <v>50000</v>
      </c>
    </row>
    <row r="5" spans="1:13">
      <c r="A5" s="15" t="s">
        <v>17</v>
      </c>
      <c r="B5" s="20">
        <v>144000</v>
      </c>
      <c r="D5" s="15" t="s">
        <v>11</v>
      </c>
      <c r="E5" s="20">
        <v>165000</v>
      </c>
    </row>
    <row r="6" spans="1:13">
      <c r="A6" s="15" t="s">
        <v>22</v>
      </c>
      <c r="B6" s="20">
        <v>50000</v>
      </c>
      <c r="D6" s="15" t="s">
        <v>16</v>
      </c>
      <c r="E6" s="20">
        <v>144000</v>
      </c>
    </row>
    <row r="7" spans="1:13">
      <c r="A7" s="15" t="s">
        <v>13</v>
      </c>
      <c r="B7" s="20">
        <v>285000</v>
      </c>
      <c r="D7" s="15" t="s">
        <v>25</v>
      </c>
      <c r="E7" s="20">
        <v>48000</v>
      </c>
    </row>
    <row r="8" spans="1:13">
      <c r="A8" s="15" t="s">
        <v>54</v>
      </c>
      <c r="B8" s="20">
        <v>527000</v>
      </c>
      <c r="D8" s="15" t="s">
        <v>30</v>
      </c>
      <c r="E8" s="20">
        <v>120000</v>
      </c>
    </row>
    <row r="9" spans="1:13">
      <c r="D9" s="15" t="s">
        <v>54</v>
      </c>
      <c r="E9" s="20">
        <v>527000</v>
      </c>
    </row>
    <row r="10" spans="1:13">
      <c r="H10" s="3"/>
    </row>
    <row r="11" spans="1:13">
      <c r="H11" s="3"/>
    </row>
    <row r="12" spans="1:13">
      <c r="A12" s="14" t="s">
        <v>53</v>
      </c>
      <c r="B12" t="s">
        <v>55</v>
      </c>
      <c r="D12" s="14" t="s">
        <v>53</v>
      </c>
      <c r="E12" s="5" t="s">
        <v>55</v>
      </c>
      <c r="H12" s="3"/>
    </row>
    <row r="13" spans="1:13">
      <c r="A13" s="15" t="s">
        <v>28</v>
      </c>
      <c r="B13" s="20">
        <v>48000</v>
      </c>
      <c r="D13" s="15" t="s">
        <v>56</v>
      </c>
      <c r="E13" s="20">
        <v>527000</v>
      </c>
      <c r="H13" s="3"/>
    </row>
    <row r="14" spans="1:13">
      <c r="A14" s="15" t="s">
        <v>23</v>
      </c>
      <c r="B14" s="20">
        <v>50000</v>
      </c>
      <c r="D14" s="17" t="s">
        <v>57</v>
      </c>
      <c r="E14" s="20">
        <v>527000</v>
      </c>
      <c r="H14" s="3"/>
    </row>
    <row r="15" spans="1:13">
      <c r="A15" s="15" t="s">
        <v>14</v>
      </c>
      <c r="B15" s="20">
        <v>285000</v>
      </c>
      <c r="D15" s="15" t="s">
        <v>54</v>
      </c>
      <c r="E15" s="20">
        <v>527000</v>
      </c>
      <c r="H15" s="3"/>
    </row>
    <row r="16" spans="1:13">
      <c r="A16" s="15" t="s">
        <v>18</v>
      </c>
      <c r="B16" s="20">
        <v>144000</v>
      </c>
      <c r="H16" s="3"/>
    </row>
    <row r="17" spans="1:8">
      <c r="A17" s="15" t="s">
        <v>54</v>
      </c>
      <c r="B17" s="20">
        <v>527000</v>
      </c>
      <c r="H17" s="3"/>
    </row>
    <row r="18" spans="1:8">
      <c r="H18" s="3"/>
    </row>
    <row r="19" spans="1:8">
      <c r="H19" s="3"/>
    </row>
    <row r="20" spans="1:8">
      <c r="H20" s="3"/>
    </row>
    <row r="38" spans="2:9" ht="15">
      <c r="B38" s="1" t="s">
        <v>4</v>
      </c>
      <c r="C38" s="1" t="s">
        <v>43</v>
      </c>
      <c r="E38" s="1" t="s">
        <v>44</v>
      </c>
      <c r="F38" s="1" t="s">
        <v>43</v>
      </c>
      <c r="H38" s="1" t="s">
        <v>5</v>
      </c>
      <c r="I38" s="1" t="s">
        <v>43</v>
      </c>
    </row>
    <row r="39" spans="2:9">
      <c r="B39" t="s">
        <v>13</v>
      </c>
      <c r="C39" s="3">
        <v>285000</v>
      </c>
      <c r="E39" t="s">
        <v>11</v>
      </c>
      <c r="F39" s="3">
        <v>165000</v>
      </c>
      <c r="H39" t="s">
        <v>14</v>
      </c>
      <c r="I39" s="3">
        <v>285000</v>
      </c>
    </row>
    <row r="40" spans="2:9">
      <c r="B40" t="s">
        <v>17</v>
      </c>
      <c r="C40" s="3">
        <v>144000</v>
      </c>
      <c r="E40" t="s">
        <v>16</v>
      </c>
      <c r="F40" s="3">
        <v>144000</v>
      </c>
      <c r="H40" t="s">
        <v>18</v>
      </c>
      <c r="I40" s="3">
        <v>144000</v>
      </c>
    </row>
    <row r="41" spans="2:9">
      <c r="B41" t="s">
        <v>22</v>
      </c>
      <c r="C41" s="3">
        <v>50000</v>
      </c>
      <c r="E41" t="s">
        <v>20</v>
      </c>
      <c r="F41" s="3">
        <v>50000</v>
      </c>
      <c r="H41" t="s">
        <v>23</v>
      </c>
      <c r="I41" s="3">
        <v>50000</v>
      </c>
    </row>
    <row r="42" spans="2:9">
      <c r="B42" t="s">
        <v>27</v>
      </c>
      <c r="C42" s="3">
        <v>48000</v>
      </c>
      <c r="E42" t="s">
        <v>25</v>
      </c>
      <c r="F42" s="3">
        <v>48000</v>
      </c>
      <c r="H42" t="s">
        <v>28</v>
      </c>
      <c r="I42" s="3">
        <v>48000</v>
      </c>
    </row>
    <row r="43" spans="2:9">
      <c r="C43" s="3"/>
      <c r="E43" t="s">
        <v>30</v>
      </c>
      <c r="F43" s="3">
        <v>120000</v>
      </c>
      <c r="I4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6652-8EE5-4532-A66B-291D83AEFE52}">
  <sheetPr>
    <pageSetUpPr fitToPage="1"/>
  </sheetPr>
  <dimension ref="A1:U5"/>
  <sheetViews>
    <sheetView showGridLines="0" zoomScale="55" zoomScaleNormal="55" workbookViewId="0">
      <selection activeCell="V5" sqref="V5"/>
    </sheetView>
  </sheetViews>
  <sheetFormatPr defaultRowHeight="14.25"/>
  <cols>
    <col min="9" max="9" width="8.875" customWidth="1"/>
    <col min="12" max="12" width="14.375" customWidth="1"/>
  </cols>
  <sheetData>
    <row r="1" spans="1:21" ht="14.25" customHeight="1">
      <c r="A1" s="42" t="s">
        <v>45</v>
      </c>
      <c r="B1" s="42"/>
      <c r="C1" s="42"/>
      <c r="D1" s="42"/>
      <c r="E1" s="42"/>
      <c r="F1" s="42"/>
      <c r="G1" s="42"/>
      <c r="H1" s="42"/>
      <c r="I1" s="42"/>
      <c r="J1" s="42"/>
      <c r="K1" s="42"/>
      <c r="L1" s="42"/>
      <c r="M1" s="42"/>
      <c r="N1" s="42"/>
      <c r="O1" s="42"/>
      <c r="P1" s="42"/>
      <c r="Q1" s="42"/>
      <c r="R1" s="42"/>
      <c r="S1" s="18"/>
      <c r="T1" s="18"/>
      <c r="U1" s="18"/>
    </row>
    <row r="2" spans="1:21" ht="14.25" customHeight="1">
      <c r="A2" s="42"/>
      <c r="B2" s="42"/>
      <c r="C2" s="42"/>
      <c r="D2" s="42"/>
      <c r="E2" s="42"/>
      <c r="F2" s="42"/>
      <c r="G2" s="42"/>
      <c r="H2" s="42"/>
      <c r="I2" s="42"/>
      <c r="J2" s="42"/>
      <c r="K2" s="42"/>
      <c r="L2" s="42"/>
      <c r="M2" s="42"/>
      <c r="N2" s="42"/>
      <c r="O2" s="42"/>
      <c r="P2" s="42"/>
      <c r="Q2" s="42"/>
      <c r="R2" s="42"/>
      <c r="S2" s="18"/>
      <c r="T2" s="18"/>
      <c r="U2" s="18"/>
    </row>
    <row r="4" spans="1:21" ht="26.25">
      <c r="B4" s="21" t="s">
        <v>40</v>
      </c>
      <c r="C4" s="22"/>
      <c r="D4" s="23"/>
      <c r="F4" s="27" t="s">
        <v>48</v>
      </c>
      <c r="G4" s="28"/>
      <c r="H4" s="29"/>
      <c r="J4" s="30" t="s">
        <v>58</v>
      </c>
      <c r="K4" s="31"/>
      <c r="L4" s="32"/>
      <c r="N4" s="36" t="s">
        <v>59</v>
      </c>
      <c r="O4" s="37"/>
      <c r="P4" s="38"/>
    </row>
    <row r="5" spans="1:21" ht="26.25">
      <c r="B5" s="24">
        <f>SUM(Sales_Data!I2:I6)</f>
        <v>527000</v>
      </c>
      <c r="C5" s="25"/>
      <c r="D5" s="26"/>
      <c r="F5" s="24">
        <v>91000</v>
      </c>
      <c r="G5" s="25"/>
      <c r="H5" s="26"/>
      <c r="J5" s="33">
        <f>SUM(Sales_Data!I2:I6)/SUM(Sales_Data!J2:J6)</f>
        <v>1.1212765957446809</v>
      </c>
      <c r="K5" s="34"/>
      <c r="L5" s="35"/>
      <c r="N5" s="39" t="s">
        <v>11</v>
      </c>
      <c r="O5" s="40"/>
      <c r="P5" s="41"/>
    </row>
  </sheetData>
  <mergeCells count="10">
    <mergeCell ref="N4:P4"/>
    <mergeCell ref="N5:P5"/>
    <mergeCell ref="A1:R2"/>
    <mergeCell ref="S1:U2"/>
    <mergeCell ref="B4:D4"/>
    <mergeCell ref="B5:D5"/>
    <mergeCell ref="F4:H4"/>
    <mergeCell ref="F5:H5"/>
    <mergeCell ref="J4:L4"/>
    <mergeCell ref="J5:L5"/>
  </mergeCells>
  <pageMargins left="0.25" right="0.25"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Sales_Data</vt:lpstr>
      <vt:lpstr>Product_Master</vt:lpstr>
      <vt:lpstr>Formula_Calculations</vt:lpstr>
      <vt:lpstr>Pivot_Summary</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2026-08-06T00:50:52Z</cp:lastPrinted>
  <dcterms:created xsi:type="dcterms:W3CDTF">2026-08-05T22:41:46Z</dcterms:created>
  <dcterms:modified xsi:type="dcterms:W3CDTF">2026-08-06T01:27:00Z</dcterms:modified>
</cp:coreProperties>
</file>